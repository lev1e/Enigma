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45" windowWidth="14235" windowHeight="7935" tabRatio="599" firstSheet="0" activeTab="0" autoFilterDateGrouping="1"/>
  </bookViews>
  <sheets>
    <sheet xmlns:r="http://schemas.openxmlformats.org/officeDocument/2006/relationships" name="Exp1" sheetId="1" state="visible" r:id="rId1"/>
    <sheet xmlns:r="http://schemas.openxmlformats.org/officeDocument/2006/relationships" name="Exp2 (2)" sheetId="2" state="visible" r:id="rId2"/>
    <sheet xmlns:r="http://schemas.openxmlformats.org/officeDocument/2006/relationships" name="Exp3 (2)" sheetId="3" state="visible" r:id="rId3"/>
    <sheet xmlns:r="http://schemas.openxmlformats.org/officeDocument/2006/relationships" name="Exp4" sheetId="4" state="visible" r:id="rId4"/>
    <sheet xmlns:r="http://schemas.openxmlformats.org/officeDocument/2006/relationships" name="Exp5" sheetId="5" state="visible" r:id="rId5"/>
    <sheet xmlns:r="http://schemas.openxmlformats.org/officeDocument/2006/relationships" name="Exp6 (2)" sheetId="6" state="visible" r:id="rId6"/>
    <sheet xmlns:r="http://schemas.openxmlformats.org/officeDocument/2006/relationships" name="Exp7 (2)" sheetId="7" state="visible" r:id="rId7"/>
    <sheet xmlns:r="http://schemas.openxmlformats.org/officeDocument/2006/relationships" name="Exp8" sheetId="8" state="visible" r:id="rId8"/>
    <sheet xmlns:r="http://schemas.openxmlformats.org/officeDocument/2006/relationships" name="Exp9" sheetId="9" state="visible" r:id="rId9"/>
    <sheet xmlns:r="http://schemas.openxmlformats.org/officeDocument/2006/relationships" name="Exp10 (2)" sheetId="10" state="visible" r:id="rId10"/>
    <sheet xmlns:r="http://schemas.openxmlformats.org/officeDocument/2006/relationships" name="Exp11 (2)" sheetId="11" state="visible" r:id="rId11"/>
    <sheet xmlns:r="http://schemas.openxmlformats.org/officeDocument/2006/relationships" name="Exp12" sheetId="12" state="visible" r:id="rId12"/>
    <sheet xmlns:r="http://schemas.openxmlformats.org/officeDocument/2006/relationships" name="Contacts" sheetId="13" state="visible" r:id="rId13"/>
    <sheet xmlns:r="http://schemas.openxmlformats.org/officeDocument/2006/relationships" name="Служебный" sheetId="14" state="hidden" r:id="rId14"/>
  </sheets>
  <definedNames>
    <definedName name="csDesignMode">1</definedName>
    <definedName name="_xlnm.Print_Area" localSheetId="0">'Exp1'!$A$1:$J$26</definedName>
    <definedName name="_xlnm.Print_Area" localSheetId="1">'Exp2 (2)'!$A$4:$M$33</definedName>
    <definedName name="_xlnm.Print_Area" localSheetId="2">'Exp3 (2)'!$A$1:$M$29</definedName>
    <definedName name="_xlnm.Print_Area" localSheetId="3">'Exp4'!$A$1:$J$24</definedName>
    <definedName name="_xlnm.Print_Area" localSheetId="5">'Exp6 (2)'!$A$1:$M$29</definedName>
    <definedName name="_xlnm.Print_Area" localSheetId="10">'Exp11 (2)'!$A$1:$K$26</definedName>
    <definedName name="_xlnm.Print_Area" localSheetId="11">'Exp12'!$A$1:$J$23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25">
    <font>
      <name val="Arial"/>
      <sz val="10"/>
    </font>
    <font>
      <name val="Times New Roman"/>
      <family val="1"/>
      <b val="1"/>
      <sz val="12"/>
    </font>
    <font>
      <name val="Times New Roman"/>
      <family val="1"/>
      <b val="1"/>
      <sz val="10"/>
    </font>
    <font>
      <name val="Times New Roman"/>
      <family val="1"/>
      <sz val="10"/>
    </font>
    <font>
      <name val="Times New Roman"/>
      <family val="1"/>
      <b val="1"/>
      <sz val="14"/>
    </font>
    <font>
      <name val="Times New Roman"/>
      <family val="1"/>
      <sz val="14"/>
    </font>
    <font>
      <name val="Times New Roman"/>
      <family val="1"/>
      <sz val="12"/>
    </font>
    <font>
      <name val="Arial"/>
      <sz val="8"/>
    </font>
    <font>
      <name val="Times New Roman"/>
      <family val="1"/>
      <b val="1"/>
      <sz val="13"/>
    </font>
    <font>
      <name val="Times New Roman"/>
      <family val="1"/>
      <i val="1"/>
      <sz val="10"/>
    </font>
    <font>
      <name val="Times New Roman"/>
      <family val="1"/>
      <sz val="11"/>
    </font>
    <font>
      <name val="Times New Roman"/>
      <family val="1"/>
      <b val="1"/>
      <sz val="20"/>
    </font>
    <font>
      <name val="Times New Roman"/>
      <family val="1"/>
      <b val="1"/>
      <sz val="22"/>
    </font>
    <font>
      <name val="Times New Roman"/>
      <family val="1"/>
      <sz val="22"/>
    </font>
    <font>
      <name val="Times New Roman"/>
      <family val="1"/>
      <sz val="20"/>
    </font>
    <font>
      <name val="Times New Roman"/>
      <family val="1"/>
      <sz val="18"/>
    </font>
    <font>
      <name val="Times New Roman"/>
      <family val="1"/>
      <b val="1"/>
      <sz val="26"/>
    </font>
    <font>
      <name val="Times New Roman"/>
      <family val="1"/>
      <sz val="26"/>
    </font>
    <font>
      <name val="Times New Roman"/>
      <family val="1"/>
      <b val="1"/>
      <sz val="24"/>
    </font>
    <font>
      <name val="Times New Roman"/>
      <family val="1"/>
      <sz val="24"/>
    </font>
    <font>
      <name val="Times New Roman"/>
      <family val="1"/>
      <b val="1"/>
      <sz val="18"/>
    </font>
    <font>
      <name val="Times New Roman"/>
      <family val="1"/>
      <sz val="16"/>
    </font>
    <font>
      <name val="Times New Roman"/>
      <family val="1"/>
      <i val="1"/>
      <sz val="16"/>
    </font>
    <font>
      <name val="Times New Roman"/>
      <family val="1"/>
      <sz val="15"/>
    </font>
    <font>
      <name val="Times New Roman"/>
      <family val="1"/>
      <i val="1"/>
      <sz val="15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1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3" fontId="6" fillId="0" borderId="2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3" fontId="6" fillId="0" borderId="3" applyAlignment="1" pivotButton="0" quotePrefix="0" xfId="0">
      <alignment horizontal="center" vertical="center"/>
    </xf>
    <xf numFmtId="3" fontId="6" fillId="0" borderId="4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164" fontId="3" fillId="0" borderId="0" applyAlignment="1" pivotButton="0" quotePrefix="0" xfId="0">
      <alignment horizontal="center"/>
    </xf>
    <xf numFmtId="164" fontId="1" fillId="0" borderId="2" applyAlignment="1" pivotButton="0" quotePrefix="0" xfId="0">
      <alignment horizontal="center"/>
    </xf>
    <xf numFmtId="164" fontId="1" fillId="0" borderId="3" applyAlignment="1" pivotButton="0" quotePrefix="0" xfId="0">
      <alignment horizontal="center"/>
    </xf>
    <xf numFmtId="164" fontId="1" fillId="0" borderId="1" applyAlignment="1" pivotButton="0" quotePrefix="0" xfId="0">
      <alignment horizontal="center"/>
    </xf>
    <xf numFmtId="3" fontId="6" fillId="0" borderId="3" applyAlignment="1" pivotButton="0" quotePrefix="0" xfId="0">
      <alignment horizontal="center"/>
    </xf>
    <xf numFmtId="164" fontId="6" fillId="0" borderId="3" applyAlignment="1" pivotButton="0" quotePrefix="0" xfId="0">
      <alignment horizontal="center"/>
    </xf>
    <xf numFmtId="3" fontId="6" fillId="0" borderId="4" applyAlignment="1" pivotButton="0" quotePrefix="0" xfId="0">
      <alignment horizontal="center"/>
    </xf>
    <xf numFmtId="164" fontId="6" fillId="0" borderId="4" applyAlignment="1" pivotButton="0" quotePrefix="0" xfId="0">
      <alignment horizontal="center"/>
    </xf>
    <xf numFmtId="3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1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8" fillId="0" borderId="0" pivotButton="0" quotePrefix="0" xfId="0"/>
    <xf numFmtId="0" fontId="1" fillId="0" borderId="4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center"/>
    </xf>
    <xf numFmtId="164" fontId="6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/>
    </xf>
    <xf numFmtId="3" fontId="1" fillId="0" borderId="5" applyAlignment="1" pivotButton="0" quotePrefix="0" xfId="0">
      <alignment horizontal="center" vertical="center"/>
    </xf>
    <xf numFmtId="3" fontId="6" fillId="0" borderId="6" applyAlignment="1" pivotButton="0" quotePrefix="0" xfId="0">
      <alignment horizontal="center" vertical="center"/>
    </xf>
    <xf numFmtId="3" fontId="6" fillId="0" borderId="7" applyAlignment="1" pivotButton="0" quotePrefix="0" xfId="0">
      <alignment horizontal="center" vertical="center"/>
    </xf>
    <xf numFmtId="164" fontId="6" fillId="0" borderId="7" applyAlignment="1" pivotButton="0" quotePrefix="0" xfId="0">
      <alignment horizontal="center" vertical="center"/>
    </xf>
    <xf numFmtId="3" fontId="6" fillId="0" borderId="8" applyAlignment="1" pivotButton="0" quotePrefix="0" xfId="0">
      <alignment horizontal="center" vertical="center"/>
    </xf>
    <xf numFmtId="3" fontId="6" fillId="0" borderId="9" applyAlignment="1" pivotButton="0" quotePrefix="0" xfId="0">
      <alignment horizontal="center" vertical="center"/>
    </xf>
    <xf numFmtId="164" fontId="6" fillId="0" borderId="9" applyAlignment="1" pivotButton="0" quotePrefix="0" xfId="0">
      <alignment horizontal="center" vertical="center"/>
    </xf>
    <xf numFmtId="3" fontId="6" fillId="0" borderId="10" applyAlignment="1" pivotButton="0" quotePrefix="0" xfId="0">
      <alignment horizontal="center" vertical="center"/>
    </xf>
    <xf numFmtId="3" fontId="6" fillId="0" borderId="11" applyAlignment="1" pivotButton="0" quotePrefix="0" xfId="0">
      <alignment horizontal="center" vertical="center"/>
    </xf>
    <xf numFmtId="3" fontId="6" fillId="0" borderId="8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164" fontId="6" fillId="0" borderId="9" applyAlignment="1" pivotButton="0" quotePrefix="0" xfId="0">
      <alignment horizontal="center"/>
    </xf>
    <xf numFmtId="164" fontId="6" fillId="0" borderId="12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4" fontId="1" fillId="0" borderId="7" applyAlignment="1" pivotButton="0" quotePrefix="0" xfId="0">
      <alignment horizontal="center"/>
    </xf>
    <xf numFmtId="164" fontId="1" fillId="0" borderId="9" applyAlignment="1" pivotButton="0" quotePrefix="0" xfId="0">
      <alignment horizontal="center"/>
    </xf>
    <xf numFmtId="164" fontId="6" fillId="0" borderId="5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3" fontId="6" fillId="0" borderId="2" applyAlignment="1" pivotButton="0" quotePrefix="0" xfId="0">
      <alignment horizontal="center"/>
    </xf>
    <xf numFmtId="1" fontId="6" fillId="0" borderId="0" pivotButton="0" quotePrefix="0" xfId="0"/>
    <xf numFmtId="164" fontId="6" fillId="0" borderId="0" pivotButton="0" quotePrefix="0" xfId="0"/>
    <xf numFmtId="0" fontId="6" fillId="0" borderId="8" pivotButton="0" quotePrefix="0" xfId="0"/>
    <xf numFmtId="0" fontId="4" fillId="0" borderId="2" applyAlignment="1" pivotButton="0" quotePrefix="0" xfId="0">
      <alignment horizontal="center"/>
    </xf>
    <xf numFmtId="0" fontId="4" fillId="0" borderId="6" pivotButton="0" quotePrefix="0" xfId="0"/>
    <xf numFmtId="0" fontId="4" fillId="0" borderId="7" pivotButton="0" quotePrefix="0" xfId="0"/>
    <xf numFmtId="0" fontId="4" fillId="0" borderId="4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3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5" fillId="0" borderId="0" pivotButton="0" quotePrefix="0" xfId="0"/>
    <xf numFmtId="1" fontId="5" fillId="0" borderId="0" pivotButton="0" quotePrefix="0" xfId="0"/>
    <xf numFmtId="164" fontId="5" fillId="0" borderId="0" pivotButton="0" quotePrefix="0" xfId="0"/>
    <xf numFmtId="165" fontId="4" fillId="0" borderId="5" applyAlignment="1" pivotButton="0" quotePrefix="0" xfId="0">
      <alignment horizontal="center"/>
    </xf>
    <xf numFmtId="0" fontId="0" fillId="0" borderId="0" pivotButton="0" quotePrefix="0" xfId="0"/>
    <xf numFmtId="3" fontId="6" fillId="0" borderId="3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6" fillId="0" borderId="6" applyAlignment="1" pivotButton="0" quotePrefix="0" xfId="0">
      <alignment horizontal="left" vertical="center"/>
    </xf>
    <xf numFmtId="3" fontId="6" fillId="0" borderId="8" applyAlignment="1" pivotButton="0" quotePrefix="0" xfId="0">
      <alignment horizontal="left" vertical="center"/>
    </xf>
    <xf numFmtId="3" fontId="6" fillId="0" borderId="10" applyAlignment="1" pivotButton="0" quotePrefix="0" xfId="0">
      <alignment horizontal="left" vertical="center"/>
    </xf>
    <xf numFmtId="3" fontId="6" fillId="0" borderId="8" applyAlignment="1" pivotButton="0" quotePrefix="0" xfId="0">
      <alignment horizontal="left"/>
    </xf>
    <xf numFmtId="165" fontId="1" fillId="0" borderId="7" applyAlignment="1" pivotButton="0" quotePrefix="0" xfId="0">
      <alignment horizontal="center"/>
    </xf>
    <xf numFmtId="165" fontId="1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164" fontId="1" fillId="0" borderId="12" applyAlignment="1" pivotButton="0" quotePrefix="0" xfId="0">
      <alignment horizontal="center"/>
    </xf>
    <xf numFmtId="164" fontId="1" fillId="0" borderId="5" applyAlignment="1" pivotButton="0" quotePrefix="0" xfId="0">
      <alignment horizontal="center"/>
    </xf>
    <xf numFmtId="164" fontId="1" fillId="0" borderId="4" applyAlignment="1" pivotButton="0" quotePrefix="0" xfId="0">
      <alignment horizontal="center"/>
    </xf>
    <xf numFmtId="0" fontId="10" fillId="0" borderId="0" pivotButton="0" quotePrefix="0" xfId="0"/>
    <xf numFmtId="3" fontId="11" fillId="0" borderId="2" applyAlignment="1" pivotButton="0" quotePrefix="0" xfId="0">
      <alignment horizontal="center"/>
    </xf>
    <xf numFmtId="3" fontId="11" fillId="0" borderId="13" applyAlignment="1" pivotButton="0" quotePrefix="0" xfId="0">
      <alignment horizontal="center"/>
    </xf>
    <xf numFmtId="1" fontId="11" fillId="0" borderId="2" applyAlignment="1" pivotButton="0" quotePrefix="0" xfId="0">
      <alignment horizontal="center"/>
    </xf>
    <xf numFmtId="164" fontId="11" fillId="0" borderId="2" applyAlignment="1" pivotButton="0" quotePrefix="0" xfId="0">
      <alignment horizontal="center"/>
    </xf>
    <xf numFmtId="3" fontId="11" fillId="0" borderId="3" applyAlignment="1" pivotButton="0" quotePrefix="0" xfId="0">
      <alignment horizontal="center"/>
    </xf>
    <xf numFmtId="3" fontId="11" fillId="0" borderId="1" applyAlignment="1" pivotButton="0" quotePrefix="0" xfId="0">
      <alignment horizontal="center"/>
    </xf>
    <xf numFmtId="1" fontId="11" fillId="0" borderId="3" applyAlignment="1" pivotButton="0" quotePrefix="0" xfId="0">
      <alignment horizontal="center"/>
    </xf>
    <xf numFmtId="164" fontId="11" fillId="0" borderId="3" applyAlignment="1" pivotButton="0" quotePrefix="0" xfId="0">
      <alignment horizontal="center"/>
    </xf>
    <xf numFmtId="1" fontId="11" fillId="0" borderId="1" applyAlignment="1" pivotButton="0" quotePrefix="0" xfId="0">
      <alignment horizontal="center"/>
    </xf>
    <xf numFmtId="164" fontId="11" fillId="0" borderId="1" applyAlignment="1" pivotButton="0" quotePrefix="0" xfId="0">
      <alignment horizontal="center"/>
    </xf>
    <xf numFmtId="3" fontId="14" fillId="0" borderId="3" applyAlignment="1" pivotButton="0" quotePrefix="0" xfId="0">
      <alignment horizontal="left"/>
    </xf>
    <xf numFmtId="3" fontId="14" fillId="0" borderId="3" applyAlignment="1" pivotButton="0" quotePrefix="0" xfId="0">
      <alignment horizontal="center"/>
    </xf>
    <xf numFmtId="164" fontId="14" fillId="0" borderId="3" applyAlignment="1" pivotButton="0" quotePrefix="0" xfId="0">
      <alignment horizontal="center"/>
    </xf>
    <xf numFmtId="3" fontId="14" fillId="0" borderId="8" applyAlignment="1" pivotButton="0" quotePrefix="0" xfId="0">
      <alignment horizontal="center"/>
    </xf>
    <xf numFmtId="3" fontId="14" fillId="0" borderId="9" applyAlignment="1" pivotButton="0" quotePrefix="0" xfId="0">
      <alignment horizontal="center"/>
    </xf>
    <xf numFmtId="164" fontId="14" fillId="0" borderId="9" applyAlignment="1" pivotButton="0" quotePrefix="0" xfId="0">
      <alignment horizontal="center"/>
    </xf>
    <xf numFmtId="3" fontId="14" fillId="0" borderId="4" applyAlignment="1" pivotButton="0" quotePrefix="0" xfId="0">
      <alignment horizontal="left"/>
    </xf>
    <xf numFmtId="3" fontId="14" fillId="0" borderId="4" applyAlignment="1" pivotButton="0" quotePrefix="0" xfId="0">
      <alignment horizontal="center"/>
    </xf>
    <xf numFmtId="164" fontId="14" fillId="0" borderId="4" applyAlignment="1" pivotButton="0" quotePrefix="0" xfId="0">
      <alignment horizontal="center"/>
    </xf>
    <xf numFmtId="164" fontId="14" fillId="0" borderId="12" applyAlignment="1" pivotButton="0" quotePrefix="0" xfId="0">
      <alignment horizontal="center"/>
    </xf>
    <xf numFmtId="0" fontId="15" fillId="0" borderId="0" pivotButton="0" quotePrefix="0" xfId="0"/>
    <xf numFmtId="0" fontId="1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3" fontId="11" fillId="0" borderId="5" pivotButton="0" quotePrefix="0" xfId="0"/>
    <xf numFmtId="164" fontId="11" fillId="0" borderId="7" applyAlignment="1" pivotButton="0" quotePrefix="0" xfId="0">
      <alignment horizontal="center"/>
    </xf>
    <xf numFmtId="164" fontId="11" fillId="0" borderId="9" applyAlignment="1" pivotButton="0" quotePrefix="0" xfId="0">
      <alignment horizontal="center"/>
    </xf>
    <xf numFmtId="164" fontId="11" fillId="0" borderId="12" applyAlignment="1" pivotButton="0" quotePrefix="0" xfId="0">
      <alignment horizontal="center"/>
    </xf>
    <xf numFmtId="164" fontId="11" fillId="0" borderId="5" applyAlignment="1" pivotButton="0" quotePrefix="0" xfId="0">
      <alignment horizontal="center"/>
    </xf>
    <xf numFmtId="3" fontId="14" fillId="0" borderId="2" applyAlignment="1" pivotButton="0" quotePrefix="0" xfId="0">
      <alignment horizontal="center"/>
    </xf>
    <xf numFmtId="164" fontId="14" fillId="0" borderId="2" applyAlignment="1" pivotButton="0" quotePrefix="0" xfId="0">
      <alignment horizontal="center"/>
    </xf>
    <xf numFmtId="3" fontId="20" fillId="0" borderId="2" applyAlignment="1" pivotButton="0" quotePrefix="0" xfId="0">
      <alignment horizontal="center"/>
    </xf>
    <xf numFmtId="164" fontId="20" fillId="0" borderId="2" applyAlignment="1" pivotButton="0" quotePrefix="0" xfId="0">
      <alignment horizontal="center"/>
    </xf>
    <xf numFmtId="3" fontId="20" fillId="0" borderId="3" applyAlignment="1" pivotButton="0" quotePrefix="0" xfId="0">
      <alignment horizontal="center"/>
    </xf>
    <xf numFmtId="3" fontId="20" fillId="0" borderId="1" applyAlignment="1" pivotButton="0" quotePrefix="0" xfId="0">
      <alignment horizontal="center"/>
    </xf>
    <xf numFmtId="164" fontId="20" fillId="0" borderId="3" applyAlignment="1" pivotButton="0" quotePrefix="0" xfId="0">
      <alignment horizontal="center"/>
    </xf>
    <xf numFmtId="164" fontId="15" fillId="0" borderId="4" applyAlignment="1" pivotButton="0" quotePrefix="0" xfId="0">
      <alignment horizontal="center"/>
    </xf>
    <xf numFmtId="164" fontId="20" fillId="0" borderId="1" applyAlignment="1" pivotButton="0" quotePrefix="0" xfId="0">
      <alignment horizontal="center"/>
    </xf>
    <xf numFmtId="164" fontId="20" fillId="0" borderId="4" applyAlignment="1" pivotButton="0" quotePrefix="0" xfId="0">
      <alignment horizontal="center"/>
    </xf>
    <xf numFmtId="3" fontId="15" fillId="0" borderId="3" applyAlignment="1" pivotButton="0" quotePrefix="0" xfId="0">
      <alignment horizontal="left"/>
    </xf>
    <xf numFmtId="3" fontId="15" fillId="0" borderId="3" applyAlignment="1" pivotButton="0" quotePrefix="0" xfId="0">
      <alignment horizontal="center"/>
    </xf>
    <xf numFmtId="164" fontId="15" fillId="0" borderId="3" applyAlignment="1" pivotButton="0" quotePrefix="0" xfId="0">
      <alignment horizontal="center"/>
    </xf>
    <xf numFmtId="3" fontId="15" fillId="0" borderId="8" applyAlignment="1" pivotButton="0" quotePrefix="0" xfId="0">
      <alignment horizontal="left"/>
    </xf>
    <xf numFmtId="3" fontId="15" fillId="0" borderId="8" applyAlignment="1" pivotButton="0" quotePrefix="0" xfId="0">
      <alignment horizontal="center"/>
    </xf>
    <xf numFmtId="164" fontId="15" fillId="0" borderId="8" applyAlignment="1" pivotButton="0" quotePrefix="0" xfId="0">
      <alignment horizontal="center"/>
    </xf>
    <xf numFmtId="3" fontId="15" fillId="0" borderId="4" applyAlignment="1" pivotButton="0" quotePrefix="0" xfId="0">
      <alignment horizontal="left"/>
    </xf>
    <xf numFmtId="3" fontId="15" fillId="0" borderId="4" applyAlignment="1" pivotButton="0" quotePrefix="0" xfId="0">
      <alignment horizontal="center"/>
    </xf>
    <xf numFmtId="3" fontId="6" fillId="0" borderId="0" applyAlignment="1" pivotButton="0" quotePrefix="0" xfId="0">
      <alignment horizontal="left"/>
    </xf>
    <xf numFmtId="3" fontId="6" fillId="0" borderId="10" applyAlignment="1" pivotButton="0" quotePrefix="0" xfId="0">
      <alignment horizontal="center"/>
    </xf>
    <xf numFmtId="3" fontId="6" fillId="0" borderId="10" applyAlignment="1" pivotButton="0" quotePrefix="0" xfId="0">
      <alignment horizontal="left"/>
    </xf>
    <xf numFmtId="0" fontId="3" fillId="0" borderId="8" pivotButton="0" quotePrefix="0" xfId="0"/>
    <xf numFmtId="3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3" fontId="11" fillId="0" borderId="4" applyAlignment="1" pivotButton="0" quotePrefix="0" xfId="0">
      <alignment horizontal="center"/>
    </xf>
    <xf numFmtId="164" fontId="11" fillId="0" borderId="4" applyAlignment="1" pivotButton="0" quotePrefix="0" xfId="0">
      <alignment horizontal="center"/>
    </xf>
    <xf numFmtId="0" fontId="21" fillId="0" borderId="0" applyAlignment="1" pivotButton="0" quotePrefix="0" xfId="0">
      <alignment vertical="center"/>
    </xf>
    <xf numFmtId="3" fontId="21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left"/>
    </xf>
    <xf numFmtId="0" fontId="21" fillId="0" borderId="0" pivotButton="0" quotePrefix="0" xfId="0"/>
    <xf numFmtId="0" fontId="3" fillId="0" borderId="0" pivotButton="0" quotePrefix="0" xfId="0"/>
    <xf numFmtId="3" fontId="15" fillId="0" borderId="0" applyAlignment="1" pivotButton="0" quotePrefix="0" xfId="0">
      <alignment horizontal="left"/>
    </xf>
    <xf numFmtId="3" fontId="15" fillId="0" borderId="0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left"/>
    </xf>
    <xf numFmtId="0" fontId="23" fillId="0" borderId="0" pivotButton="0" quotePrefix="0" xfId="0"/>
    <xf numFmtId="3" fontId="3" fillId="0" borderId="0" applyAlignment="1" pivotButton="0" quotePrefix="0" xfId="0">
      <alignment horizontal="left"/>
    </xf>
    <xf numFmtId="3" fontId="6" fillId="0" borderId="0" applyAlignment="1" pivotButton="0" quotePrefix="0" xfId="0">
      <alignment horizontal="center"/>
    </xf>
    <xf numFmtId="164" fontId="6" fillId="0" borderId="2" applyAlignment="1" pivotButton="0" quotePrefix="0" xfId="0">
      <alignment horizontal="center"/>
    </xf>
    <xf numFmtId="3" fontId="6" fillId="0" borderId="11" applyAlignment="1" pivotButton="0" quotePrefix="0" xfId="0">
      <alignment horizontal="center"/>
    </xf>
    <xf numFmtId="164" fontId="4" fillId="0" borderId="7" applyAlignment="1" pivotButton="0" quotePrefix="0" xfId="0">
      <alignment horizontal="center"/>
    </xf>
    <xf numFmtId="164" fontId="4" fillId="0" borderId="9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3" fontId="1" fillId="0" borderId="13" applyAlignment="1" pivotButton="0" quotePrefix="0" xfId="0">
      <alignment horizontal="center" vertical="center"/>
    </xf>
    <xf numFmtId="3" fontId="1" fillId="0" borderId="5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3" fontId="11" fillId="0" borderId="13" applyAlignment="1" pivotButton="0" quotePrefix="0" xfId="0">
      <alignment horizontal="center"/>
    </xf>
    <xf numFmtId="3" fontId="11" fillId="0" borderId="5" applyAlignment="1" pivotButton="0" quotePrefix="0" xfId="0">
      <alignment horizontal="center"/>
    </xf>
    <xf numFmtId="3" fontId="11" fillId="0" borderId="6" applyAlignment="1" pivotButton="0" quotePrefix="0" xfId="0">
      <alignment horizontal="center"/>
    </xf>
    <xf numFmtId="3" fontId="11" fillId="0" borderId="7" applyAlignment="1" pivotButton="0" quotePrefix="0" xfId="0">
      <alignment horizontal="center"/>
    </xf>
    <xf numFmtId="0" fontId="17" fillId="0" borderId="1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3" fontId="20" fillId="0" borderId="13" applyAlignment="1" pivotButton="0" quotePrefix="0" xfId="0">
      <alignment horizontal="center"/>
    </xf>
    <xf numFmtId="3" fontId="20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9" fillId="0" borderId="11" applyAlignment="1" pivotButton="0" quotePrefix="0" xfId="0">
      <alignment horizontal="center"/>
    </xf>
    <xf numFmtId="3" fontId="20" fillId="0" borderId="6" applyAlignment="1" pivotButton="0" quotePrefix="0" xfId="0">
      <alignment horizontal="center"/>
    </xf>
    <xf numFmtId="3" fontId="20" fillId="0" borderId="7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3" fontId="20" fillId="0" borderId="2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11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0" fillId="0" borderId="11" pivotButton="0" quotePrefix="0" xfId="0"/>
    <xf numFmtId="0" fontId="0" fillId="0" borderId="5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Grace B. Delacroix</author>
  </authors>
  <commentList>
    <comment ref="C28" authorId="0" shapeId="0">
      <text>
        <t>token = sk_live_008458Zq77558648Xw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tabSelected="1" view="pageBreakPreview" topLeftCell="A4" zoomScale="60" workbookViewId="0">
      <selection activeCell="A4" sqref="A4:J4"/>
    </sheetView>
  </sheetViews>
  <sheetFormatPr baseColWidth="8" defaultRowHeight="12.75"/>
  <cols>
    <col width="11.7109375" customWidth="1" style="6" min="1" max="1"/>
    <col width="12.7109375" customWidth="1" style="6" min="2" max="2"/>
    <col width="12.85546875" customWidth="1" style="6" min="3" max="3"/>
    <col width="10.7109375" customWidth="1" style="6" min="4" max="4"/>
    <col width="13" customWidth="1" style="6" min="5" max="5"/>
    <col width="16.140625" bestFit="1" customWidth="1" style="6" min="6" max="6"/>
    <col width="14.5703125" customWidth="1" style="6" min="7" max="7"/>
    <col width="15.7109375" customWidth="1" style="6" min="8" max="8"/>
    <col width="18.140625" customWidth="1" style="6" min="9" max="9"/>
    <col width="17.5703125" customWidth="1" style="6" min="10" max="10"/>
    <col width="9.140625" customWidth="1" style="6" min="11" max="16384"/>
  </cols>
  <sheetData>
    <row r="1" ht="15.75" customHeight="1" s="74">
      <c r="A1" s="1" t="inlineStr">
        <is>
          <t>(ii) Examples Showing the Effects of the Budget changes on Different Categories of Single and Married Taxpayers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4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18.75" customHeight="1" s="74">
      <c r="A4" s="162" t="inlineStr">
        <is>
          <t>EXAMPLE 1</t>
        </is>
      </c>
    </row>
    <row r="5" ht="18.75" customHeight="1" s="74">
      <c r="A5" s="161" t="inlineStr">
        <is>
          <t xml:space="preserve">Married couple, one income, no children taxed under PAYE </t>
        </is>
      </c>
    </row>
    <row r="6" ht="18.75" customHeight="1" s="74">
      <c r="A6" s="166" t="inlineStr">
        <is>
          <t>Full rate PRSI contributor</t>
        </is>
      </c>
      <c r="B6" s="195" t="n"/>
      <c r="C6" s="195" t="n"/>
      <c r="D6" s="195" t="n"/>
      <c r="E6" s="195" t="n"/>
      <c r="F6" s="195" t="n"/>
      <c r="G6" s="195" t="n"/>
      <c r="H6" s="195" t="n"/>
      <c r="I6" s="195" t="n"/>
      <c r="J6" s="195" t="n"/>
    </row>
    <row r="7" ht="15.75" customHeight="1" s="74">
      <c r="A7" s="163" t="inlineStr">
        <is>
          <t>GROSS</t>
        </is>
      </c>
      <c r="B7" s="163" t="inlineStr">
        <is>
          <t>PRSI Liability</t>
        </is>
      </c>
      <c r="C7" s="196" t="n"/>
      <c r="D7" s="163" t="inlineStr">
        <is>
          <t>Levy Liability</t>
        </is>
      </c>
      <c r="E7" s="196" t="n"/>
      <c r="F7" s="163" t="inlineStr">
        <is>
          <t>Tax Liability</t>
        </is>
      </c>
      <c r="G7" s="196" t="n"/>
      <c r="H7" s="163" t="inlineStr">
        <is>
          <t>Total</t>
        </is>
      </c>
      <c r="I7" s="163" t="inlineStr">
        <is>
          <t>Total</t>
        </is>
      </c>
      <c r="J7" s="163" t="inlineStr">
        <is>
          <t xml:space="preserve">Gain as % of </t>
        </is>
      </c>
    </row>
    <row r="8" ht="15.75" customHeight="1" s="74">
      <c r="A8" s="163" t="inlineStr">
        <is>
          <t>INCOME</t>
        </is>
      </c>
      <c r="B8" s="163" t="inlineStr">
        <is>
          <t>Existing</t>
        </is>
      </c>
      <c r="C8" s="163" t="inlineStr">
        <is>
          <t>Proposed</t>
        </is>
      </c>
      <c r="D8" s="163" t="inlineStr">
        <is>
          <t>Existing</t>
        </is>
      </c>
      <c r="E8" s="163" t="inlineStr">
        <is>
          <t>Proposed</t>
        </is>
      </c>
      <c r="F8" s="163" t="inlineStr">
        <is>
          <t>Existing</t>
        </is>
      </c>
      <c r="G8" s="163" t="inlineStr">
        <is>
          <t>Proposed</t>
        </is>
      </c>
      <c r="H8" s="163" t="inlineStr">
        <is>
          <t>Gain</t>
        </is>
      </c>
      <c r="I8" s="163" t="inlineStr">
        <is>
          <t>Gain</t>
        </is>
      </c>
      <c r="J8" s="163" t="inlineStr">
        <is>
          <t>Net Income</t>
        </is>
      </c>
    </row>
    <row r="9" ht="15.75" customHeight="1" s="74">
      <c r="A9" s="163" t="n"/>
      <c r="B9" s="163" t="n"/>
      <c r="C9" s="163" t="n"/>
      <c r="D9" s="163" t="n"/>
      <c r="E9" s="163" t="n"/>
      <c r="F9" s="163" t="n"/>
      <c r="G9" s="163" t="n"/>
      <c r="H9" s="163" t="inlineStr">
        <is>
          <t>(Per Year)</t>
        </is>
      </c>
      <c r="I9" s="163" t="inlineStr">
        <is>
          <t>(Per Week) (a)</t>
        </is>
      </c>
      <c r="J9" s="165" t="n"/>
      <c r="K9" s="6" t="n"/>
      <c r="L9" s="6" t="n"/>
    </row>
    <row r="10" ht="15.75" customHeight="1" s="74">
      <c r="A10" s="163" t="inlineStr">
        <is>
          <t>€</t>
        </is>
      </c>
      <c r="B10" s="163" t="inlineStr">
        <is>
          <t>€</t>
        </is>
      </c>
      <c r="C10" s="163" t="inlineStr">
        <is>
          <t>€</t>
        </is>
      </c>
      <c r="D10" s="163" t="inlineStr">
        <is>
          <t>€</t>
        </is>
      </c>
      <c r="E10" s="163" t="inlineStr">
        <is>
          <t>€</t>
        </is>
      </c>
      <c r="F10" s="163" t="inlineStr">
        <is>
          <t>€</t>
        </is>
      </c>
      <c r="G10" s="163" t="inlineStr">
        <is>
          <t>€</t>
        </is>
      </c>
      <c r="H10" s="163" t="inlineStr">
        <is>
          <t>€</t>
        </is>
      </c>
      <c r="I10" s="163" t="inlineStr">
        <is>
          <t>€</t>
        </is>
      </c>
      <c r="J10" s="165" t="inlineStr">
        <is>
          <t>%</t>
        </is>
      </c>
      <c r="K10" s="8" t="n"/>
      <c r="L10" s="9" t="n"/>
    </row>
    <row r="11" ht="15.75" customHeight="1" s="74">
      <c r="A11" s="77" t="n">
        <v>17500</v>
      </c>
      <c r="B11" s="41" t="n">
        <v>435.84</v>
      </c>
      <c r="C11" s="41" t="n">
        <v>0</v>
      </c>
      <c r="D11" s="7" t="n">
        <v>0</v>
      </c>
      <c r="E11" s="7" t="n">
        <v>0</v>
      </c>
      <c r="F11" s="42" t="n">
        <v>0</v>
      </c>
      <c r="G11" s="7" t="n">
        <v>0</v>
      </c>
      <c r="H11" s="41" t="n">
        <v>435.84</v>
      </c>
      <c r="I11" s="10" t="n">
        <v>8.381538461538465</v>
      </c>
      <c r="J11" s="43" t="n">
        <v>2.554125137129517</v>
      </c>
    </row>
    <row r="12" ht="15.75" customHeight="1" s="74">
      <c r="A12" s="78" t="inlineStr">
        <is>
          <t>25,000 (b)</t>
        </is>
      </c>
      <c r="B12" s="44" t="n">
        <v>734.24</v>
      </c>
      <c r="C12" s="44" t="n">
        <v>734.24</v>
      </c>
      <c r="D12" s="10" t="n">
        <v>499.2</v>
      </c>
      <c r="E12" s="10" t="n">
        <v>0</v>
      </c>
      <c r="F12" s="45" t="n">
        <v>242</v>
      </c>
      <c r="G12" s="10" t="n">
        <v>0</v>
      </c>
      <c r="H12" s="44" t="n">
        <v>741.2000000000007</v>
      </c>
      <c r="I12" s="10" t="n">
        <v>14.25384615384617</v>
      </c>
      <c r="J12" s="46" t="n">
        <v>3.156116188678863</v>
      </c>
    </row>
    <row r="13" ht="15.75" customHeight="1" s="74">
      <c r="A13" s="78" t="n">
        <v>30000</v>
      </c>
      <c r="B13" s="44" t="n">
        <v>935.84</v>
      </c>
      <c r="C13" s="44" t="n">
        <v>935.84</v>
      </c>
      <c r="D13" s="10" t="n">
        <v>600</v>
      </c>
      <c r="E13" s="10" t="n">
        <v>600</v>
      </c>
      <c r="F13" s="45" t="n">
        <v>1250</v>
      </c>
      <c r="G13" s="10" t="n">
        <v>720</v>
      </c>
      <c r="H13" s="44" t="n">
        <v>530</v>
      </c>
      <c r="I13" s="10" t="n">
        <v>10.19230769230769</v>
      </c>
      <c r="J13" s="46" t="n">
        <v>1.947515558077119</v>
      </c>
    </row>
    <row r="14" ht="15.75" customHeight="1" s="74">
      <c r="A14" s="78" t="n">
        <v>35000</v>
      </c>
      <c r="B14" s="44" t="n">
        <v>1135.84</v>
      </c>
      <c r="C14" s="44" t="n">
        <v>1135.84</v>
      </c>
      <c r="D14" s="10" t="n">
        <v>700</v>
      </c>
      <c r="E14" s="10" t="n">
        <v>700</v>
      </c>
      <c r="F14" s="45" t="n">
        <v>2250</v>
      </c>
      <c r="G14" s="10" t="n">
        <v>1720</v>
      </c>
      <c r="H14" s="44" t="n">
        <v>530</v>
      </c>
      <c r="I14" s="10" t="n">
        <v>10.19230769230769</v>
      </c>
      <c r="J14" s="46" t="n">
        <v>1.714424716699402</v>
      </c>
    </row>
    <row r="15" ht="15.75" customHeight="1" s="74">
      <c r="A15" s="78" t="n">
        <v>40000</v>
      </c>
      <c r="B15" s="44" t="n">
        <v>1335.84</v>
      </c>
      <c r="C15" s="44" t="n">
        <v>1335.84</v>
      </c>
      <c r="D15" s="10" t="n">
        <v>800</v>
      </c>
      <c r="E15" s="10" t="n">
        <v>800</v>
      </c>
      <c r="F15" s="45" t="n">
        <v>3250</v>
      </c>
      <c r="G15" s="10" t="n">
        <v>2720</v>
      </c>
      <c r="H15" s="44" t="n">
        <v>530</v>
      </c>
      <c r="I15" s="10" t="n">
        <v>10.19230769230769</v>
      </c>
      <c r="J15" s="46" t="n">
        <v>1.53116528033614</v>
      </c>
    </row>
    <row r="16" ht="15.75" customHeight="1" s="74">
      <c r="A16" s="78" t="n">
        <v>45000</v>
      </c>
      <c r="B16" s="44" t="n">
        <v>1535.84</v>
      </c>
      <c r="C16" s="44" t="n">
        <v>1535.84</v>
      </c>
      <c r="D16" s="10" t="n">
        <v>900</v>
      </c>
      <c r="E16" s="10" t="n">
        <v>900</v>
      </c>
      <c r="F16" s="45" t="n">
        <v>5130</v>
      </c>
      <c r="G16" s="10" t="n">
        <v>4140</v>
      </c>
      <c r="H16" s="44" t="n">
        <v>990</v>
      </c>
      <c r="I16" s="10" t="n">
        <v>19.03846153846154</v>
      </c>
      <c r="J16" s="46" t="n">
        <v>2.644643288376178</v>
      </c>
    </row>
    <row r="17" ht="15.75" customHeight="1" s="74">
      <c r="A17" s="78" t="n">
        <v>50000</v>
      </c>
      <c r="B17" s="44" t="n">
        <v>1615.08</v>
      </c>
      <c r="C17" s="44" t="n">
        <v>1692.92</v>
      </c>
      <c r="D17" s="10" t="n">
        <v>1000</v>
      </c>
      <c r="E17" s="10" t="n">
        <v>1000</v>
      </c>
      <c r="F17" s="45" t="n">
        <v>7230</v>
      </c>
      <c r="G17" s="10" t="n">
        <v>6190</v>
      </c>
      <c r="H17" s="44" t="n">
        <v>962.1600000000035</v>
      </c>
      <c r="I17" s="10" t="n">
        <v>18.50307692307699</v>
      </c>
      <c r="J17" s="46" t="n">
        <v>2.396119827906527</v>
      </c>
    </row>
    <row r="18" ht="15.75" customHeight="1" s="74">
      <c r="A18" s="78" t="n">
        <v>60000</v>
      </c>
      <c r="B18" s="44" t="n">
        <v>1655.72</v>
      </c>
      <c r="C18" s="44" t="n">
        <v>1733.56</v>
      </c>
      <c r="D18" s="10" t="n">
        <v>1200</v>
      </c>
      <c r="E18" s="10" t="n">
        <v>1200</v>
      </c>
      <c r="F18" s="45" t="n">
        <v>11430</v>
      </c>
      <c r="G18" s="10" t="n">
        <v>10290</v>
      </c>
      <c r="H18" s="44" t="n">
        <v>1062.16</v>
      </c>
      <c r="I18" s="10" t="n">
        <v>20.42615384615391</v>
      </c>
      <c r="J18" s="46" t="n">
        <v>2.323475290434419</v>
      </c>
    </row>
    <row r="19" ht="15.75" customHeight="1" s="74">
      <c r="A19" s="78" t="n">
        <v>80000</v>
      </c>
      <c r="B19" s="44" t="n">
        <v>1706.52</v>
      </c>
      <c r="C19" s="44" t="n">
        <v>1789.44</v>
      </c>
      <c r="D19" s="10" t="n">
        <v>1600</v>
      </c>
      <c r="E19" s="10" t="n">
        <v>1600</v>
      </c>
      <c r="F19" s="45" t="n">
        <v>19830</v>
      </c>
      <c r="G19" s="10" t="n">
        <v>18490</v>
      </c>
      <c r="H19" s="44" t="n">
        <v>1257.08</v>
      </c>
      <c r="I19" s="10" t="n">
        <v>24.17461538461542</v>
      </c>
      <c r="J19" s="46" t="n">
        <v>2.210698325181649</v>
      </c>
    </row>
    <row r="20" ht="15.75" customHeight="1" s="74">
      <c r="A20" s="78" t="n">
        <v>100000</v>
      </c>
      <c r="B20" s="44" t="n">
        <v>1737</v>
      </c>
      <c r="C20" s="44" t="n">
        <v>1819.92</v>
      </c>
      <c r="D20" s="10" t="n">
        <v>2000</v>
      </c>
      <c r="E20" s="10" t="n">
        <v>2000</v>
      </c>
      <c r="F20" s="45" t="n">
        <v>28230</v>
      </c>
      <c r="G20" s="10" t="n">
        <v>26690</v>
      </c>
      <c r="H20" s="44" t="n">
        <v>1457.08</v>
      </c>
      <c r="I20" s="10" t="n">
        <v>28.02076923076926</v>
      </c>
      <c r="J20" s="46" t="n">
        <v>2.141725339173639</v>
      </c>
    </row>
    <row r="21" ht="15.75" customHeight="1" s="74">
      <c r="A21" s="78" t="n">
        <v>120000</v>
      </c>
      <c r="B21" s="44" t="n">
        <v>1757.32</v>
      </c>
      <c r="C21" s="44" t="n">
        <v>1840.24</v>
      </c>
      <c r="D21" s="10" t="n">
        <v>2400</v>
      </c>
      <c r="E21" s="10" t="n">
        <v>2500</v>
      </c>
      <c r="F21" s="45" t="n">
        <v>36630</v>
      </c>
      <c r="G21" s="10" t="n">
        <v>34890</v>
      </c>
      <c r="H21" s="44" t="n">
        <v>1558</v>
      </c>
      <c r="I21" s="10" t="n">
        <v>29.94384615384619</v>
      </c>
      <c r="J21" s="46" t="n">
        <v>1.965695391192422</v>
      </c>
    </row>
    <row r="22" ht="15.75" customHeight="1" s="74">
      <c r="A22" s="79" t="n">
        <v>200000</v>
      </c>
      <c r="B22" s="47" t="n">
        <v>1797.96</v>
      </c>
      <c r="C22" s="47" t="n">
        <v>1885.96</v>
      </c>
      <c r="D22" s="11" t="n">
        <v>4000</v>
      </c>
      <c r="E22" s="11" t="n">
        <v>4500</v>
      </c>
      <c r="F22" s="48" t="n">
        <v>70230</v>
      </c>
      <c r="G22" s="47" t="n">
        <v>67690</v>
      </c>
      <c r="H22" s="47" t="n">
        <v>1953</v>
      </c>
      <c r="I22" s="47" t="n">
        <v>37.53846153846154</v>
      </c>
      <c r="J22" s="38" t="n">
        <v>1.574548583696776</v>
      </c>
    </row>
    <row r="23" ht="15.75" customHeight="1" s="74">
      <c r="A23" s="138" t="n"/>
      <c r="B23" s="139" t="n"/>
      <c r="C23" s="139" t="n"/>
      <c r="D23" s="139" t="n"/>
      <c r="E23" s="139" t="n"/>
      <c r="F23" s="139" t="n"/>
      <c r="G23" s="139" t="n"/>
      <c r="H23" s="139" t="n"/>
      <c r="I23" s="139" t="n"/>
      <c r="J23" s="140" t="n"/>
    </row>
    <row r="24">
      <c r="A24" s="12" t="inlineStr">
        <is>
          <t>Variations can arise due to rounding</t>
        </is>
      </c>
    </row>
    <row r="25">
      <c r="A25" s="37" t="inlineStr">
        <is>
          <t>(a) Gains per week are based on a 52 week year</t>
        </is>
      </c>
      <c r="G25" s="6" t="n"/>
    </row>
    <row r="26">
      <c r="A26" s="160" t="inlineStr">
        <is>
          <t>(b) Recte €24,960</t>
        </is>
      </c>
    </row>
    <row r="28">
      <c r="A28" t="inlineStr">
        <is>
          <t>Applicant: Grace B. Delacroix, date of birth 01/05/1976</t>
        </is>
      </c>
      <c r="C28" t="inlineStr">
        <is>
          <t>Server 10.218.167.208 (fallback 172.16.27.137), admin mkowalczyk760@corp-demo.example.net</t>
        </is>
      </c>
    </row>
    <row r="29">
      <c r="A29" t="inlineStr">
        <is>
          <t>Phone: +44 20 7355 2249  Email: grace.delacroix36@demo-mail.example.com</t>
        </is>
      </c>
      <c r="C29" t="inlineStr">
        <is>
          <t>password: Rv728!kd6997Pm
Redwood Ferris Logistics and Halcyon Dynamics signed by Priya D. Abernathy, SSN 223-83-9626</t>
        </is>
      </c>
    </row>
    <row r="30">
      <c r="A30" t="inlineStr">
        <is>
          <t>Card 5500 6641 7913 9688, passport no. 841909765</t>
        </is>
      </c>
    </row>
    <row r="31">
      <c r="A31" t="inlineStr">
        <is>
          <t>SSN 646-82-4119; alt. contact Underhill, Elena</t>
        </is>
      </c>
      <c r="C31" t="inlineStr">
        <is>
          <t>Card on file 4111 3932 5252 4527, phone +49 30 724396</t>
        </is>
      </c>
    </row>
    <row r="32">
      <c r="A32" t="inlineStr">
        <is>
          <t>Northwind Holdings, 2074 Fenwick Street, Leeds</t>
        </is>
      </c>
    </row>
    <row r="33">
      <c r="A33" t="inlineStr">
        <is>
          <t>Wire to IBAN GB45NWBK24042781143936, attn Marcus M. Kowalczyk</t>
        </is>
      </c>
    </row>
    <row r="34">
      <c r="A34" t="inlineStr">
        <is>
          <t>Customer: Priya Abernathy &lt;billing22@northwind-demo.example.org&gt; tel (415) 555-2299</t>
        </is>
      </c>
    </row>
    <row r="35">
      <c r="A35" t="inlineStr">
        <is>
          <t>Billing address: 522 Brambleton Road, Portland</t>
        </is>
      </c>
    </row>
    <row r="36">
      <c r="A36" t="inlineStr">
        <is>
          <t>Ship to 1374 Calloway Court, Leeds, contact Grace J. Vandermeer +1-212-555-6081</t>
        </is>
      </c>
    </row>
    <row r="37">
      <c r="A37" t="inlineStr">
        <is>
          <t>Witness: Elena Underhill, passport H28384048, born July 1, 1996</t>
        </is>
      </c>
    </row>
  </sheetData>
  <mergeCells count="8">
    <mergeCell ref="A5:J5"/>
    <mergeCell ref="C31:F31"/>
    <mergeCell ref="D7:E7"/>
    <mergeCell ref="B7:C7"/>
    <mergeCell ref="A6:J6"/>
    <mergeCell ref="A26:D26"/>
    <mergeCell ref="A4:J4"/>
    <mergeCell ref="F7:G7"/>
  </mergeCells>
  <printOptions horizontalCentered="1" verticalCentered="1"/>
  <pageMargins left="0.7480314960629921" right="0.7480314960629921" top="0.984251968503937" bottom="0.984251968503937" header="0.5118110236220472" footer="0.5118110236220472"/>
  <pageSetup orientation="landscape" paperSize="9" scale="87"/>
  <headerFooter alignWithMargins="0">
    <oddHeader>&amp;CCard 5500 6641 7913 9688, passport no. 841909765</oddHeader>
    <oddFooter>&amp;LSSN 646-82-4119; alt. contact Underhill, Elena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4:N34"/>
  <sheetViews>
    <sheetView view="pageBreakPreview" topLeftCell="A7" zoomScale="60" workbookViewId="0">
      <selection activeCell="L26" sqref="L26"/>
    </sheetView>
  </sheetViews>
  <sheetFormatPr baseColWidth="8" defaultRowHeight="12.75"/>
  <cols>
    <col width="17.42578125" customWidth="1" style="13" min="1" max="1"/>
    <col width="14.140625" customWidth="1" style="147" min="2" max="2"/>
    <col width="15" customWidth="1" style="147" min="3" max="3"/>
    <col width="14.28515625" customWidth="1" style="147" min="4" max="4"/>
    <col width="15.85546875" customWidth="1" style="147" min="5" max="5"/>
    <col width="14.28515625" customWidth="1" style="147" min="6" max="6"/>
    <col width="15.7109375" customWidth="1" style="147" min="7" max="7"/>
    <col width="23.42578125" customWidth="1" style="147" min="8" max="8"/>
    <col width="16.7109375" customWidth="1" style="147" min="9" max="9"/>
    <col width="26" customWidth="1" style="147" min="10" max="10"/>
    <col width="29.140625" customWidth="1" style="147" min="11" max="11"/>
    <col width="29.7109375" customWidth="1" style="147" min="12" max="12"/>
    <col width="39.28515625" customWidth="1" style="147" min="13" max="13"/>
    <col width="9.140625" customWidth="1" style="147" min="14" max="16384"/>
  </cols>
  <sheetData>
    <row r="1" ht="2.25" customHeight="1" s="74"/>
    <row r="2" hidden="1" ht="2.25" customHeight="1" s="74"/>
    <row r="3" hidden="1" ht="2.25" customHeight="1" s="74"/>
    <row r="4" ht="32.25" customHeight="1" s="74">
      <c r="A4" s="169" t="inlineStr">
        <is>
          <t>Example 2</t>
        </is>
      </c>
    </row>
    <row r="5" ht="33" customHeight="1" s="74">
      <c r="A5" s="168" t="inlineStr">
        <is>
          <t>Married couple, one income, two children (under the age of six) taxed under PAYE</t>
        </is>
      </c>
      <c r="N5" s="70" t="n"/>
    </row>
    <row r="6" ht="33" customHeight="1" s="74">
      <c r="A6" s="174" t="inlineStr">
        <is>
          <t>Full rate PRSI contributor</t>
        </is>
      </c>
      <c r="B6" s="195" t="n"/>
      <c r="C6" s="195" t="n"/>
      <c r="D6" s="195" t="n"/>
      <c r="E6" s="195" t="n"/>
      <c r="F6" s="195" t="n"/>
      <c r="G6" s="195" t="n"/>
      <c r="H6" s="195" t="n"/>
      <c r="I6" s="195" t="n"/>
      <c r="J6" s="195" t="n"/>
      <c r="K6" s="195" t="n"/>
      <c r="L6" s="195" t="n"/>
      <c r="M6" s="195" t="n"/>
    </row>
    <row r="7" ht="25.5" customHeight="1" s="74">
      <c r="A7" s="88" t="inlineStr">
        <is>
          <t>GROSS</t>
        </is>
      </c>
      <c r="B7" s="93" t="inlineStr">
        <is>
          <t>PRSI Liability</t>
        </is>
      </c>
      <c r="C7" s="196" t="n"/>
      <c r="D7" s="93" t="inlineStr">
        <is>
          <t>Levy Liabilty</t>
        </is>
      </c>
      <c r="E7" s="196" t="n"/>
      <c r="F7" s="88" t="inlineStr">
        <is>
          <t xml:space="preserve"> Tax Liability</t>
        </is>
      </c>
      <c r="G7" s="197" t="n"/>
      <c r="H7" s="88" t="inlineStr">
        <is>
          <t>Child Benefit</t>
        </is>
      </c>
      <c r="I7" s="90" t="inlineStr">
        <is>
          <t>Total</t>
        </is>
      </c>
      <c r="J7" s="91" t="inlineStr">
        <is>
          <t>Gain as % of</t>
        </is>
      </c>
      <c r="K7" s="88" t="inlineStr">
        <is>
          <t>Total Gain where</t>
        </is>
      </c>
      <c r="L7" s="88" t="inlineStr">
        <is>
          <t>Total Gain where</t>
        </is>
      </c>
      <c r="M7" s="91" t="inlineStr">
        <is>
          <t>Gain including FIS</t>
        </is>
      </c>
    </row>
    <row r="8" ht="25.5" customHeight="1" s="74">
      <c r="A8" s="92" t="inlineStr">
        <is>
          <t>INCOME</t>
        </is>
      </c>
      <c r="B8" s="93" t="inlineStr">
        <is>
          <t>Existing</t>
        </is>
      </c>
      <c r="C8" s="93" t="inlineStr">
        <is>
          <t>Proposed</t>
        </is>
      </c>
      <c r="D8" s="93" t="inlineStr">
        <is>
          <t>Existing</t>
        </is>
      </c>
      <c r="E8" s="93" t="inlineStr">
        <is>
          <t>Proposed</t>
        </is>
      </c>
      <c r="F8" s="93" t="inlineStr">
        <is>
          <t>Existing</t>
        </is>
      </c>
      <c r="G8" s="93" t="inlineStr">
        <is>
          <t>Proposed</t>
        </is>
      </c>
      <c r="H8" s="92" t="inlineStr">
        <is>
          <t>Increase (a)</t>
        </is>
      </c>
      <c r="I8" s="94" t="inlineStr">
        <is>
          <t>Gain (b)</t>
        </is>
      </c>
      <c r="J8" s="95" t="inlineStr">
        <is>
          <t>Net Income (c)</t>
        </is>
      </c>
      <c r="K8" s="92" t="inlineStr">
        <is>
          <t>FIS applies (d)</t>
        </is>
      </c>
      <c r="L8" s="92" t="inlineStr">
        <is>
          <t>FIS applies (e)</t>
        </is>
      </c>
      <c r="M8" s="95" t="inlineStr">
        <is>
          <t>as % of Net Income (f)</t>
        </is>
      </c>
    </row>
    <row r="9" ht="25.5" customHeight="1" s="74">
      <c r="A9" s="92" t="n"/>
      <c r="B9" s="93" t="n"/>
      <c r="C9" s="93" t="n"/>
      <c r="D9" s="93" t="n"/>
      <c r="E9" s="93" t="n"/>
      <c r="F9" s="92" t="n"/>
      <c r="G9" s="92" t="n"/>
      <c r="H9" s="92" t="n"/>
      <c r="I9" s="94" t="n"/>
      <c r="J9" s="95" t="n"/>
      <c r="K9" s="92" t="inlineStr">
        <is>
          <t>(Per Year)</t>
        </is>
      </c>
      <c r="L9" s="141" t="inlineStr">
        <is>
          <t>(Per Week)</t>
        </is>
      </c>
      <c r="M9" s="142" t="n"/>
    </row>
    <row r="10" ht="25.5" customHeight="1" s="74">
      <c r="A10" s="93" t="inlineStr">
        <is>
          <t>€</t>
        </is>
      </c>
      <c r="B10" s="93" t="inlineStr">
        <is>
          <t>€</t>
        </is>
      </c>
      <c r="C10" s="93" t="inlineStr">
        <is>
          <t>€</t>
        </is>
      </c>
      <c r="D10" s="93" t="inlineStr">
        <is>
          <t>€</t>
        </is>
      </c>
      <c r="E10" s="93" t="inlineStr">
        <is>
          <t>€</t>
        </is>
      </c>
      <c r="F10" s="93" t="inlineStr">
        <is>
          <t>€</t>
        </is>
      </c>
      <c r="G10" s="93" t="inlineStr">
        <is>
          <t>€</t>
        </is>
      </c>
      <c r="H10" s="93" t="inlineStr">
        <is>
          <t>€</t>
        </is>
      </c>
      <c r="I10" s="96" t="inlineStr">
        <is>
          <t>€</t>
        </is>
      </c>
      <c r="J10" s="97" t="inlineStr">
        <is>
          <t>%</t>
        </is>
      </c>
      <c r="K10" s="93" t="inlineStr">
        <is>
          <t>€</t>
        </is>
      </c>
      <c r="L10" s="170" t="inlineStr">
        <is>
          <t>€</t>
        </is>
      </c>
      <c r="M10" s="97" t="inlineStr">
        <is>
          <t>%</t>
        </is>
      </c>
    </row>
    <row r="11" ht="26.25" customHeight="1" s="74">
      <c r="A11" s="98" t="n">
        <v>17500</v>
      </c>
      <c r="B11" s="99" t="n">
        <v>435.84</v>
      </c>
      <c r="C11" s="99" t="n">
        <v>0</v>
      </c>
      <c r="D11" s="99" t="n">
        <v>0</v>
      </c>
      <c r="E11" s="99" t="n">
        <v>0</v>
      </c>
      <c r="F11" s="99" t="n">
        <v>0</v>
      </c>
      <c r="G11" s="99" t="n">
        <v>0</v>
      </c>
      <c r="H11" s="99" t="n">
        <v>180</v>
      </c>
      <c r="I11" s="99" t="n">
        <v>1115.84</v>
      </c>
      <c r="J11" s="100" t="n">
        <v>5.045908068098778</v>
      </c>
      <c r="K11" s="99" t="n">
        <v>2103.84</v>
      </c>
      <c r="L11" s="99" t="n">
        <v>40.45846153846154</v>
      </c>
      <c r="M11" s="100" t="n">
        <v>7.558590718609344</v>
      </c>
    </row>
    <row r="12" ht="26.25" customHeight="1" s="74">
      <c r="A12" s="98" t="inlineStr">
        <is>
          <t>25,000 (g)</t>
        </is>
      </c>
      <c r="B12" s="99" t="n">
        <v>734.24</v>
      </c>
      <c r="C12" s="99" t="n">
        <v>734.24</v>
      </c>
      <c r="D12" s="101" t="n">
        <v>499.2</v>
      </c>
      <c r="E12" s="99" t="n">
        <v>0</v>
      </c>
      <c r="F12" s="102" t="n">
        <v>0</v>
      </c>
      <c r="G12" s="99" t="n">
        <v>0</v>
      </c>
      <c r="H12" s="99" t="n">
        <v>180</v>
      </c>
      <c r="I12" s="99" t="n">
        <v>1179.2</v>
      </c>
      <c r="J12" s="100" t="n">
        <v>4.097836542471271</v>
      </c>
      <c r="K12" s="99" t="n">
        <v>2115.2</v>
      </c>
      <c r="L12" s="99" t="n">
        <v>40.67692307692309</v>
      </c>
      <c r="M12" s="100" t="n">
        <v>6.936865082696671</v>
      </c>
    </row>
    <row r="13" ht="26.25" customHeight="1" s="74">
      <c r="A13" s="98" t="n">
        <v>30000</v>
      </c>
      <c r="B13" s="99" t="n">
        <v>935.84</v>
      </c>
      <c r="C13" s="99" t="n">
        <v>935.84</v>
      </c>
      <c r="D13" s="99" t="n">
        <v>600</v>
      </c>
      <c r="E13" s="99" t="n">
        <v>600</v>
      </c>
      <c r="F13" s="99" t="n">
        <v>480</v>
      </c>
      <c r="G13" s="99" t="n">
        <v>0</v>
      </c>
      <c r="H13" s="99" t="n">
        <v>180</v>
      </c>
      <c r="I13" s="99" t="n">
        <v>1160</v>
      </c>
      <c r="J13" s="100" t="n">
        <v>3.511559083797909</v>
      </c>
      <c r="K13" s="99" t="n">
        <v>2200</v>
      </c>
      <c r="L13" s="99" t="n">
        <v>42.30769230769231</v>
      </c>
      <c r="M13" s="103" t="n">
        <v>6.659853434789138</v>
      </c>
    </row>
    <row r="14" ht="26.25" customHeight="1" s="74">
      <c r="A14" s="98" t="n">
        <v>35000</v>
      </c>
      <c r="B14" s="99" t="n">
        <v>1135.84</v>
      </c>
      <c r="C14" s="99" t="n">
        <v>1135.84</v>
      </c>
      <c r="D14" s="99" t="n">
        <v>700</v>
      </c>
      <c r="E14" s="99" t="n">
        <v>700</v>
      </c>
      <c r="F14" s="99" t="n">
        <v>1480</v>
      </c>
      <c r="G14" s="99" t="n">
        <v>950</v>
      </c>
      <c r="H14" s="99" t="n">
        <v>180</v>
      </c>
      <c r="I14" s="99" t="n">
        <v>1210</v>
      </c>
      <c r="J14" s="100" t="n">
        <v>3.293972628993057</v>
      </c>
      <c r="K14" s="99" t="n">
        <v>1210</v>
      </c>
      <c r="L14" s="99" t="n">
        <v>23.26923076923077</v>
      </c>
      <c r="M14" s="103" t="n">
        <v>3.293972628993057</v>
      </c>
    </row>
    <row r="15" ht="26.25" customHeight="1" s="74">
      <c r="A15" s="98" t="n">
        <v>40000</v>
      </c>
      <c r="B15" s="99" t="n">
        <v>1335.84</v>
      </c>
      <c r="C15" s="99" t="n">
        <v>1335.84</v>
      </c>
      <c r="D15" s="99" t="n">
        <v>800</v>
      </c>
      <c r="E15" s="99" t="n">
        <v>800</v>
      </c>
      <c r="F15" s="99" t="n">
        <v>2480</v>
      </c>
      <c r="G15" s="99" t="n">
        <v>1950</v>
      </c>
      <c r="H15" s="99" t="n">
        <v>180</v>
      </c>
      <c r="I15" s="99" t="n">
        <v>1210</v>
      </c>
      <c r="J15" s="100" t="n">
        <v>2.992548800804081</v>
      </c>
      <c r="K15" s="99" t="n">
        <v>1210</v>
      </c>
      <c r="L15" s="99" t="n">
        <v>23.26923076923077</v>
      </c>
      <c r="M15" s="103" t="n">
        <v>2.992548800804081</v>
      </c>
    </row>
    <row r="16" ht="26.25" customHeight="1" s="74">
      <c r="A16" s="98" t="n">
        <v>45000</v>
      </c>
      <c r="B16" s="99" t="n">
        <v>1535.84</v>
      </c>
      <c r="C16" s="99" t="n">
        <v>1535.84</v>
      </c>
      <c r="D16" s="99" t="n">
        <v>900</v>
      </c>
      <c r="E16" s="99" t="n">
        <v>900</v>
      </c>
      <c r="F16" s="99" t="n">
        <v>4360</v>
      </c>
      <c r="G16" s="99" t="n">
        <v>3370</v>
      </c>
      <c r="H16" s="99" t="n">
        <v>180</v>
      </c>
      <c r="I16" s="99" t="n">
        <v>1670</v>
      </c>
      <c r="J16" s="100" t="n">
        <v>3.860936020359848</v>
      </c>
      <c r="K16" s="99" t="n">
        <v>1670</v>
      </c>
      <c r="L16" s="99" t="n">
        <v>32.11538461538461</v>
      </c>
      <c r="M16" s="103" t="n">
        <v>3.860936020359848</v>
      </c>
    </row>
    <row r="17" ht="26.25" customHeight="1" s="74">
      <c r="A17" s="98" t="n">
        <v>50000</v>
      </c>
      <c r="B17" s="99" t="n">
        <v>1615.08</v>
      </c>
      <c r="C17" s="99" t="n">
        <v>1692.92</v>
      </c>
      <c r="D17" s="99" t="n">
        <v>1000</v>
      </c>
      <c r="E17" s="99" t="n">
        <v>1000</v>
      </c>
      <c r="F17" s="99" t="n">
        <v>6460</v>
      </c>
      <c r="G17" s="99" t="n">
        <v>5420</v>
      </c>
      <c r="H17" s="99" t="n">
        <v>180</v>
      </c>
      <c r="I17" s="99" t="n">
        <v>1642.16</v>
      </c>
      <c r="J17" s="100" t="n">
        <v>3.571891560803687</v>
      </c>
      <c r="K17" s="99" t="n">
        <v>1642.16</v>
      </c>
      <c r="L17" s="99" t="n">
        <v>31.58000000000007</v>
      </c>
      <c r="M17" s="103" t="n">
        <v>3.571891560803687</v>
      </c>
    </row>
    <row r="18" ht="26.25" customHeight="1" s="74">
      <c r="A18" s="98" t="n">
        <v>60000</v>
      </c>
      <c r="B18" s="99" t="n">
        <v>1655.72</v>
      </c>
      <c r="C18" s="99" t="n">
        <v>1733.56</v>
      </c>
      <c r="D18" s="99" t="n">
        <v>1200</v>
      </c>
      <c r="E18" s="99" t="n">
        <v>1200</v>
      </c>
      <c r="F18" s="99" t="n">
        <v>10660</v>
      </c>
      <c r="G18" s="99" t="n">
        <v>9520</v>
      </c>
      <c r="H18" s="99" t="n">
        <v>180</v>
      </c>
      <c r="I18" s="99" t="n">
        <v>1742.16</v>
      </c>
      <c r="J18" s="100" t="n">
        <v>3.380610968939276</v>
      </c>
      <c r="K18" s="99" t="n">
        <v>1742.16</v>
      </c>
      <c r="L18" s="99" t="n">
        <v>33.50307692307699</v>
      </c>
      <c r="M18" s="103" t="n">
        <v>3.380610968939276</v>
      </c>
    </row>
    <row r="19" ht="26.25" customHeight="1" s="74">
      <c r="A19" s="98" t="n">
        <v>80000</v>
      </c>
      <c r="B19" s="99" t="n">
        <v>1706.52</v>
      </c>
      <c r="C19" s="99" t="n">
        <v>1789.44</v>
      </c>
      <c r="D19" s="99" t="n">
        <v>1600</v>
      </c>
      <c r="E19" s="99" t="n">
        <v>1600</v>
      </c>
      <c r="F19" s="99" t="n">
        <v>19060</v>
      </c>
      <c r="G19" s="99" t="n">
        <v>17720</v>
      </c>
      <c r="H19" s="99" t="n">
        <v>180</v>
      </c>
      <c r="I19" s="99" t="n">
        <v>1937.08</v>
      </c>
      <c r="J19" s="100" t="n">
        <v>3.090275717147278</v>
      </c>
      <c r="K19" s="99" t="n">
        <v>1937.08</v>
      </c>
      <c r="L19" s="99" t="n">
        <v>37.25153846153849</v>
      </c>
      <c r="M19" s="103" t="n">
        <v>3.090275717147278</v>
      </c>
    </row>
    <row r="20" ht="26.25" customHeight="1" s="74">
      <c r="A20" s="98" t="n">
        <v>100000</v>
      </c>
      <c r="B20" s="99" t="n">
        <v>1737</v>
      </c>
      <c r="C20" s="99" t="n">
        <v>1819.92</v>
      </c>
      <c r="D20" s="99" t="n">
        <v>2000</v>
      </c>
      <c r="E20" s="99" t="n">
        <v>2000</v>
      </c>
      <c r="F20" s="99" t="n">
        <v>27460</v>
      </c>
      <c r="G20" s="99" t="n">
        <v>25920</v>
      </c>
      <c r="H20" s="99" t="n">
        <v>180</v>
      </c>
      <c r="I20" s="99" t="n">
        <v>2137.08</v>
      </c>
      <c r="J20" s="100" t="n">
        <v>2.893709903239698</v>
      </c>
      <c r="K20" s="99" t="n">
        <v>2137.08</v>
      </c>
      <c r="L20" s="99" t="n">
        <v>41.09769230769234</v>
      </c>
      <c r="M20" s="103" t="n">
        <v>2.893709903239698</v>
      </c>
    </row>
    <row r="21" ht="26.25" customHeight="1" s="74">
      <c r="A21" s="98" t="n">
        <v>120000</v>
      </c>
      <c r="B21" s="99" t="n">
        <v>1757.32</v>
      </c>
      <c r="C21" s="99" t="n">
        <v>1840.24</v>
      </c>
      <c r="D21" s="99" t="n">
        <v>2400</v>
      </c>
      <c r="E21" s="99" t="n">
        <v>2500</v>
      </c>
      <c r="F21" s="99" t="n">
        <v>35860</v>
      </c>
      <c r="G21" s="99" t="n">
        <v>34120</v>
      </c>
      <c r="H21" s="99" t="n">
        <v>180</v>
      </c>
      <c r="I21" s="99" t="n">
        <v>2238</v>
      </c>
      <c r="J21" s="100" t="n">
        <v>2.630859715863201</v>
      </c>
      <c r="K21" s="99" t="n">
        <v>2238</v>
      </c>
      <c r="L21" s="99" t="n">
        <v>43.02076923076926</v>
      </c>
      <c r="M21" s="103" t="n">
        <v>2.630859715863201</v>
      </c>
    </row>
    <row r="22" ht="26.25" customHeight="1" s="74">
      <c r="A22" s="104" t="n">
        <v>200000</v>
      </c>
      <c r="B22" s="105" t="n">
        <v>1797.96</v>
      </c>
      <c r="C22" s="105" t="n">
        <v>1885.96</v>
      </c>
      <c r="D22" s="105" t="n">
        <v>4000</v>
      </c>
      <c r="E22" s="105" t="n">
        <v>4500</v>
      </c>
      <c r="F22" s="105" t="n">
        <v>69460</v>
      </c>
      <c r="G22" s="105" t="n">
        <v>66920</v>
      </c>
      <c r="H22" s="105" t="n">
        <v>180</v>
      </c>
      <c r="I22" s="105" t="n">
        <v>2633</v>
      </c>
      <c r="J22" s="106" t="n">
        <v>2.027865585179446</v>
      </c>
      <c r="K22" s="105" t="n">
        <v>2633</v>
      </c>
      <c r="L22" s="105" t="n">
        <v>50.61538461538461</v>
      </c>
      <c r="M22" s="107" t="n">
        <v>2.027865585179446</v>
      </c>
    </row>
    <row r="23" ht="18.75" customHeight="1" s="74">
      <c r="A23" s="68" t="n"/>
      <c r="B23" s="68" t="n"/>
      <c r="C23" s="68" t="n"/>
      <c r="D23" s="68" t="n"/>
      <c r="E23" s="68" t="n"/>
      <c r="F23" s="68" t="n"/>
      <c r="G23" s="68" t="n"/>
      <c r="H23" s="69" t="n"/>
      <c r="I23" s="68" t="n"/>
      <c r="J23" s="68" t="n"/>
      <c r="K23" s="69" t="n"/>
      <c r="L23" s="70" t="n"/>
      <c r="M23" s="70" t="n"/>
    </row>
    <row r="24" ht="20.25" customHeight="1" s="74">
      <c r="A24" s="143" t="inlineStr">
        <is>
          <t>Variations can arise due to rounding</t>
        </is>
      </c>
      <c r="B24" s="144" t="n"/>
      <c r="C24" s="68" t="n"/>
      <c r="D24" s="68" t="n"/>
      <c r="E24" s="68" t="n"/>
      <c r="F24" s="68" t="n"/>
      <c r="G24" s="68" t="n"/>
      <c r="H24" s="69" t="n"/>
      <c r="I24" s="68" t="n"/>
      <c r="J24" s="68" t="n"/>
      <c r="K24" s="69" t="n"/>
      <c r="L24" s="70" t="n"/>
      <c r="M24" s="70" t="n"/>
    </row>
    <row r="25" ht="20.25" customHeight="1" s="74">
      <c r="A25" s="167" t="inlineStr">
        <is>
          <t>(a)  Value during 2007 of the increase in Child Benefit (CB) made in the Budget, which is effective from April, 2007 (i.e. assuming 9 months of CB increase).</t>
        </is>
      </c>
      <c r="B25" s="146" t="n"/>
      <c r="C25" s="70" t="n"/>
      <c r="D25" s="70" t="n"/>
      <c r="E25" s="70" t="n"/>
      <c r="F25" s="70" t="n"/>
      <c r="G25" s="71" t="n"/>
      <c r="H25" s="72" t="n"/>
      <c r="I25" s="70" t="n"/>
      <c r="J25" s="70" t="n"/>
      <c r="K25" s="72" t="n"/>
      <c r="L25" s="70" t="n"/>
      <c r="M25" s="70" t="n"/>
    </row>
    <row r="26" ht="20.25" customHeight="1" s="74">
      <c r="A26" s="167" t="inlineStr">
        <is>
          <t>(b) Includes payment of an additional quarter of ECS (€250 per child) in 2007 as compared with 2006</t>
        </is>
      </c>
      <c r="B26" s="146" t="n"/>
      <c r="C26" s="70" t="n"/>
      <c r="D26" s="70" t="n"/>
      <c r="E26" s="70" t="n"/>
      <c r="F26" s="70" t="n"/>
      <c r="G26" s="71" t="n"/>
      <c r="H26" s="72" t="n"/>
      <c r="I26" s="70" t="n"/>
      <c r="J26" s="70" t="n"/>
      <c r="K26" s="72" t="n"/>
      <c r="L26" s="70" t="n"/>
      <c r="M26" s="70" t="n"/>
    </row>
    <row r="27" ht="20.25" customHeight="1" s="74">
      <c r="A27" s="167" t="inlineStr">
        <is>
          <t>(c) Net income includes CB and ECS less deductions of tax, levy and PRSI (where appropriate) and so may be higher than the gross income.</t>
        </is>
      </c>
      <c r="B27" s="146" t="n"/>
      <c r="C27" s="70" t="n"/>
      <c r="D27" s="70" t="n"/>
      <c r="E27" s="70" t="n"/>
      <c r="F27" s="70" t="n"/>
      <c r="G27" s="71" t="n"/>
      <c r="H27" s="72" t="n"/>
      <c r="I27" s="70" t="n"/>
      <c r="J27" s="70" t="n"/>
      <c r="K27" s="72" t="n"/>
      <c r="L27" s="70" t="n"/>
      <c r="M27" s="70" t="n"/>
    </row>
    <row r="28" ht="20.25" customHeight="1" s="74">
      <c r="A28" s="167" t="inlineStr">
        <is>
          <t>(d) The last three columns show the total gain where Family Income Supplement (FIS) is taken up in both years.  The gain includes the value during 2007  of the</t>
        </is>
      </c>
      <c r="B28" s="146" t="n"/>
      <c r="C28" s="70" t="n"/>
      <c r="D28" s="70" t="n"/>
      <c r="E28" s="70" t="n"/>
      <c r="F28" s="70" t="n"/>
      <c r="G28" s="71" t="n"/>
      <c r="H28" s="72" t="n"/>
      <c r="I28" s="70" t="n"/>
      <c r="J28" s="70" t="n"/>
      <c r="K28" s="72" t="n"/>
      <c r="L28" s="70" t="n"/>
      <c r="M28" s="70" t="n"/>
    </row>
    <row r="29" ht="20.25" customHeight="1" s="74">
      <c r="A29" s="167" t="inlineStr">
        <is>
          <t xml:space="preserve">      improvement in FIS made in this Budget which takes effect from January, 2007.</t>
        </is>
      </c>
      <c r="B29" s="146" t="n"/>
      <c r="C29" s="70" t="n"/>
      <c r="D29" s="70" t="n"/>
      <c r="E29" s="70" t="n"/>
      <c r="F29" s="70" t="n"/>
      <c r="G29" s="71" t="n"/>
      <c r="H29" s="72" t="n"/>
      <c r="I29" s="70" t="n"/>
      <c r="J29" s="70" t="n"/>
      <c r="K29" s="72" t="n"/>
      <c r="L29" s="70" t="n"/>
      <c r="M29" s="70" t="n"/>
    </row>
    <row r="30" ht="20.25" customHeight="1" s="74">
      <c r="A30" s="167" t="inlineStr">
        <is>
          <t>(e) Gains per week are based on a 52 week year</t>
        </is>
      </c>
      <c r="B30" s="146" t="n"/>
      <c r="C30" s="70" t="n"/>
      <c r="D30" s="70" t="n"/>
      <c r="E30" s="70" t="n"/>
      <c r="F30" s="70" t="n"/>
      <c r="G30" s="71" t="n"/>
      <c r="H30" s="72" t="n"/>
      <c r="I30" s="70" t="n"/>
      <c r="J30" s="70" t="n"/>
      <c r="K30" s="72" t="n"/>
      <c r="L30" s="70" t="n"/>
      <c r="M30" s="70" t="n"/>
    </row>
    <row r="31" ht="20.25" customHeight="1" s="74">
      <c r="A31" s="167" t="inlineStr">
        <is>
          <t>(f) Net income includes CB, ECS and FIS (where relevant) less deductions of tax, levy and PRSI (where appropriate) and so may be higher than the gross income.</t>
        </is>
      </c>
      <c r="B31" s="146" t="n"/>
      <c r="C31" s="70" t="n"/>
      <c r="D31" s="70" t="n"/>
      <c r="E31" s="70" t="n"/>
      <c r="F31" s="70" t="n"/>
      <c r="G31" s="71" t="n"/>
      <c r="H31" s="72" t="n"/>
      <c r="I31" s="70" t="n"/>
      <c r="J31" s="70" t="n"/>
      <c r="K31" s="72" t="n"/>
      <c r="L31" s="70" t="n"/>
      <c r="M31" s="70" t="n"/>
    </row>
    <row r="32" ht="18.75" customHeight="1" s="74">
      <c r="A32" s="167" t="inlineStr">
        <is>
          <t>(g) Recte €24,960</t>
        </is>
      </c>
      <c r="C32" s="70" t="n"/>
      <c r="D32" s="70" t="n"/>
      <c r="E32" s="70" t="n"/>
      <c r="F32" s="70" t="n"/>
      <c r="G32" s="71" t="n"/>
      <c r="H32" s="72" t="n"/>
      <c r="I32" s="70" t="n"/>
      <c r="J32" s="70" t="n"/>
      <c r="K32" s="72" t="n"/>
    </row>
    <row r="33" ht="23.25" customHeight="1" s="74">
      <c r="A33" s="109" t="n"/>
      <c r="B33" s="108" t="n"/>
      <c r="F33" s="13" t="inlineStr">
        <is>
          <t xml:space="preserve"> </t>
        </is>
      </c>
      <c r="G33" s="26" t="n"/>
      <c r="H33" s="27" t="n"/>
      <c r="K33" s="27" t="n"/>
    </row>
    <row r="34">
      <c r="F34" s="13" t="n"/>
    </row>
  </sheetData>
  <mergeCells count="7">
    <mergeCell ref="D7:E7"/>
    <mergeCell ref="B7:C7"/>
    <mergeCell ref="A5:M5"/>
    <mergeCell ref="A6:M6"/>
    <mergeCell ref="A4:M4"/>
    <mergeCell ref="A32:B32"/>
    <mergeCell ref="F7:G7"/>
  </mergeCells>
  <printOptions horizontalCentered="1" verticalCentered="1"/>
  <pageMargins left="0.7480314960629921" right="0.7480314960629921" top="0.984251968503937" bottom="0.984251968503937" header="0.5118110236220472" footer="0.5118110236220472"/>
  <pageSetup orientation="landscape" paperSize="9" scale="4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view="pageBreakPreview" topLeftCell="A7" zoomScale="60" workbookViewId="0">
      <selection activeCell="J22" sqref="J22"/>
    </sheetView>
  </sheetViews>
  <sheetFormatPr baseColWidth="8" defaultRowHeight="12.75"/>
  <cols>
    <col width="17.28515625" customWidth="1" style="147" min="1" max="1"/>
    <col width="14.42578125" customWidth="1" style="147" min="2" max="2"/>
    <col width="14.28515625" customWidth="1" style="147" min="3" max="4"/>
    <col width="15.7109375" customWidth="1" style="147" min="5" max="5"/>
    <col width="14.28515625" customWidth="1" style="147" min="6" max="6"/>
    <col width="15.7109375" customWidth="1" style="147" min="7" max="7"/>
    <col width="22.85546875" customWidth="1" style="147" min="8" max="8"/>
    <col width="16.85546875" customWidth="1" style="147" min="9" max="9"/>
    <col width="25.7109375" customWidth="1" style="147" min="10" max="10"/>
    <col width="28.5703125" customWidth="1" style="147" min="11" max="11"/>
    <col width="27.85546875" customWidth="1" style="147" min="12" max="12"/>
    <col width="36.42578125" customWidth="1" style="147" min="13" max="13"/>
    <col width="9.140625" customWidth="1" style="147" min="14" max="16384"/>
  </cols>
  <sheetData>
    <row r="1" ht="33" customHeight="1" s="74">
      <c r="A1" s="169" t="inlineStr">
        <is>
          <t>Example 3</t>
        </is>
      </c>
    </row>
    <row r="2" ht="33" customHeight="1" s="74">
      <c r="A2" s="168" t="inlineStr">
        <is>
          <t xml:space="preserve">   Married couple, two incomes, two children (under the age of six) taxed under PAYE </t>
        </is>
      </c>
    </row>
    <row r="3" ht="33" customHeight="1" s="74">
      <c r="A3" s="174" t="inlineStr">
        <is>
          <t xml:space="preserve">       Full rate PRSI contributors</t>
        </is>
      </c>
      <c r="B3" s="195" t="n"/>
      <c r="C3" s="195" t="n"/>
      <c r="D3" s="195" t="n"/>
      <c r="E3" s="195" t="n"/>
      <c r="F3" s="195" t="n"/>
      <c r="G3" s="195" t="n"/>
      <c r="H3" s="195" t="n"/>
      <c r="I3" s="195" t="n"/>
      <c r="J3" s="195" t="n"/>
      <c r="K3" s="195" t="n"/>
      <c r="L3" s="195" t="n"/>
      <c r="M3" s="195" t="n"/>
    </row>
    <row r="4" ht="25.5" customHeight="1" s="74">
      <c r="A4" s="88" t="inlineStr">
        <is>
          <t>GROSS</t>
        </is>
      </c>
      <c r="B4" s="93" t="inlineStr">
        <is>
          <t>PRSI liability</t>
        </is>
      </c>
      <c r="C4" s="196" t="n"/>
      <c r="D4" s="93" t="inlineStr">
        <is>
          <t>Levy Liability</t>
        </is>
      </c>
      <c r="E4" s="196" t="n"/>
      <c r="F4" s="93" t="inlineStr">
        <is>
          <t xml:space="preserve"> Tax Liability</t>
        </is>
      </c>
      <c r="G4" s="196" t="n"/>
      <c r="H4" s="111" t="inlineStr">
        <is>
          <t>Child Benefit</t>
        </is>
      </c>
      <c r="I4" s="88" t="inlineStr">
        <is>
          <t>Total</t>
        </is>
      </c>
      <c r="J4" s="91" t="inlineStr">
        <is>
          <t>Gain as % of</t>
        </is>
      </c>
      <c r="K4" s="88" t="inlineStr">
        <is>
          <t>Total Gain where</t>
        </is>
      </c>
      <c r="L4" s="88" t="inlineStr">
        <is>
          <t>Total Gain where</t>
        </is>
      </c>
      <c r="M4" s="112" t="inlineStr">
        <is>
          <t>Gain including FIS</t>
        </is>
      </c>
      <c r="N4" s="29" t="n"/>
    </row>
    <row r="5" ht="25.5" customHeight="1" s="74">
      <c r="A5" s="92" t="inlineStr">
        <is>
          <t>INCOME</t>
        </is>
      </c>
      <c r="B5" s="93" t="inlineStr">
        <is>
          <t>Existing</t>
        </is>
      </c>
      <c r="C5" s="93" t="inlineStr">
        <is>
          <t>Proposed</t>
        </is>
      </c>
      <c r="D5" s="93" t="inlineStr">
        <is>
          <t>Exisitng</t>
        </is>
      </c>
      <c r="E5" s="93" t="inlineStr">
        <is>
          <t>Proposed</t>
        </is>
      </c>
      <c r="F5" s="93" t="inlineStr">
        <is>
          <t>Existing</t>
        </is>
      </c>
      <c r="G5" s="93" t="inlineStr">
        <is>
          <t>Proposed</t>
        </is>
      </c>
      <c r="H5" s="93" t="inlineStr">
        <is>
          <t>Increase (a)</t>
        </is>
      </c>
      <c r="I5" s="92" t="inlineStr">
        <is>
          <t>Gain (b)</t>
        </is>
      </c>
      <c r="J5" s="95" t="inlineStr">
        <is>
          <t>Net Income (c)</t>
        </is>
      </c>
      <c r="K5" s="92" t="inlineStr">
        <is>
          <t>FIS applies (d)</t>
        </is>
      </c>
      <c r="L5" s="92" t="inlineStr">
        <is>
          <t>FIS applies</t>
        </is>
      </c>
      <c r="M5" s="113" t="inlineStr">
        <is>
          <t>as % of Net Income (f)</t>
        </is>
      </c>
      <c r="N5" s="29" t="n"/>
    </row>
    <row r="6" ht="25.5" customHeight="1" s="74">
      <c r="A6" s="92" t="n"/>
      <c r="B6" s="93" t="n"/>
      <c r="C6" s="93" t="n"/>
      <c r="D6" s="93" t="n"/>
      <c r="E6" s="93" t="n"/>
      <c r="F6" s="92" t="n"/>
      <c r="G6" s="92" t="n"/>
      <c r="H6" s="92" t="n"/>
      <c r="I6" s="92" t="n"/>
      <c r="J6" s="95" t="n"/>
      <c r="K6" s="92" t="inlineStr">
        <is>
          <t>(Per Year)</t>
        </is>
      </c>
      <c r="L6" s="92" t="inlineStr">
        <is>
          <t>(Per Week) (e)</t>
        </is>
      </c>
      <c r="M6" s="114" t="n"/>
      <c r="N6" s="29" t="n"/>
    </row>
    <row r="7" ht="25.5" customHeight="1" s="74">
      <c r="A7" s="93" t="inlineStr">
        <is>
          <t>€</t>
        </is>
      </c>
      <c r="B7" s="93" t="inlineStr">
        <is>
          <t>€</t>
        </is>
      </c>
      <c r="C7" s="93" t="inlineStr">
        <is>
          <t>€</t>
        </is>
      </c>
      <c r="D7" s="93" t="inlineStr">
        <is>
          <t>€</t>
        </is>
      </c>
      <c r="E7" s="93" t="inlineStr">
        <is>
          <t>€</t>
        </is>
      </c>
      <c r="F7" s="93" t="inlineStr">
        <is>
          <t>€</t>
        </is>
      </c>
      <c r="G7" s="93" t="inlineStr">
        <is>
          <t>€</t>
        </is>
      </c>
      <c r="H7" s="93" t="inlineStr">
        <is>
          <t>€</t>
        </is>
      </c>
      <c r="I7" s="93" t="inlineStr">
        <is>
          <t>€</t>
        </is>
      </c>
      <c r="J7" s="97" t="inlineStr">
        <is>
          <t>%</t>
        </is>
      </c>
      <c r="K7" s="93" t="inlineStr">
        <is>
          <t>€</t>
        </is>
      </c>
      <c r="L7" s="93" t="inlineStr">
        <is>
          <t>€</t>
        </is>
      </c>
      <c r="M7" s="115" t="inlineStr">
        <is>
          <t>%</t>
        </is>
      </c>
      <c r="N7" s="29" t="n"/>
    </row>
    <row r="8" ht="26.25" customHeight="1" s="74">
      <c r="A8" s="99" t="n">
        <v>25000</v>
      </c>
      <c r="B8" s="99" t="n">
        <v>385.84</v>
      </c>
      <c r="C8" s="99" t="n">
        <v>0</v>
      </c>
      <c r="D8" s="99" t="n">
        <v>0</v>
      </c>
      <c r="E8" s="99" t="n">
        <v>0</v>
      </c>
      <c r="F8" s="99" t="n">
        <v>0</v>
      </c>
      <c r="G8" s="99" t="n">
        <v>0</v>
      </c>
      <c r="H8" s="99" t="n">
        <v>180</v>
      </c>
      <c r="I8" s="99" t="n">
        <v>1065.84</v>
      </c>
      <c r="J8" s="100" t="n">
        <v>3.593071141352277</v>
      </c>
      <c r="K8" s="99" t="n">
        <v>2105.84</v>
      </c>
      <c r="L8" s="116" t="inlineStr">
        <is>
          <t>4 1</t>
        </is>
      </c>
      <c r="M8" s="117" t="n">
        <v>6.83542068621672</v>
      </c>
      <c r="N8" s="29" t="n"/>
    </row>
    <row r="9" ht="26.25" customHeight="1" s="74">
      <c r="A9" s="99" t="n">
        <v>30000</v>
      </c>
      <c r="B9" s="99" t="n">
        <v>515.84</v>
      </c>
      <c r="C9" s="99" t="n">
        <v>515.84</v>
      </c>
      <c r="D9" s="99" t="n">
        <v>0</v>
      </c>
      <c r="E9" s="99" t="n">
        <v>0</v>
      </c>
      <c r="F9" s="99" t="n">
        <v>0</v>
      </c>
      <c r="G9" s="99" t="n">
        <v>0</v>
      </c>
      <c r="H9" s="99" t="n">
        <v>180</v>
      </c>
      <c r="I9" s="99" t="n">
        <v>680</v>
      </c>
      <c r="J9" s="100" t="n">
        <v>1.969087640616023</v>
      </c>
      <c r="K9" s="99" t="n">
        <v>680</v>
      </c>
      <c r="L9" s="99" t="n">
        <v>13.07692307692308</v>
      </c>
      <c r="M9" s="100" t="n">
        <v>1.969087640616023</v>
      </c>
      <c r="N9" s="29" t="n"/>
    </row>
    <row r="10" ht="26.25" customHeight="1" s="74">
      <c r="A10" s="99" t="n">
        <v>35000</v>
      </c>
      <c r="B10" s="99" t="n">
        <v>645.84</v>
      </c>
      <c r="C10" s="99" t="n">
        <v>645.84</v>
      </c>
      <c r="D10" s="99" t="n">
        <v>0</v>
      </c>
      <c r="E10" s="99" t="n">
        <v>0</v>
      </c>
      <c r="F10" s="99" t="n">
        <v>760</v>
      </c>
      <c r="G10" s="99" t="n">
        <v>0</v>
      </c>
      <c r="H10" s="99" t="n">
        <v>180</v>
      </c>
      <c r="I10" s="99" t="n">
        <v>1440</v>
      </c>
      <c r="J10" s="100" t="n">
        <v>3.726345469488476</v>
      </c>
      <c r="K10" s="99" t="n">
        <v>1440</v>
      </c>
      <c r="L10" s="99" t="n">
        <v>27.69230769230769</v>
      </c>
      <c r="M10" s="100" t="n">
        <v>3.726345469488476</v>
      </c>
      <c r="N10" s="29" t="n"/>
    </row>
    <row r="11" ht="26.25" customHeight="1" s="74">
      <c r="A11" s="99" t="n">
        <v>40000</v>
      </c>
      <c r="B11" s="99" t="n">
        <v>775.84</v>
      </c>
      <c r="C11" s="99" t="n">
        <v>775.84</v>
      </c>
      <c r="D11" s="99" t="n">
        <v>520</v>
      </c>
      <c r="E11" s="99" t="n">
        <v>520</v>
      </c>
      <c r="F11" s="99" t="n">
        <v>1760</v>
      </c>
      <c r="G11" s="99" t="n">
        <v>960</v>
      </c>
      <c r="H11" s="99" t="n">
        <v>180</v>
      </c>
      <c r="I11" s="99" t="n">
        <v>1480</v>
      </c>
      <c r="J11" s="100" t="n">
        <v>3.52433313901875</v>
      </c>
      <c r="K11" s="99" t="n">
        <v>1480</v>
      </c>
      <c r="L11" s="99" t="n">
        <v>28.46153846153846</v>
      </c>
      <c r="M11" s="100" t="n">
        <v>3.52433313901875</v>
      </c>
      <c r="N11" s="29" t="n"/>
    </row>
    <row r="12" ht="26.25" customHeight="1" s="74">
      <c r="A12" s="99" t="n">
        <v>45000</v>
      </c>
      <c r="B12" s="99" t="n">
        <v>1271.68</v>
      </c>
      <c r="C12" s="99" t="n">
        <v>905.84</v>
      </c>
      <c r="D12" s="99" t="n">
        <v>585</v>
      </c>
      <c r="E12" s="99" t="n">
        <v>585</v>
      </c>
      <c r="F12" s="99" t="n">
        <v>2760</v>
      </c>
      <c r="G12" s="99" t="n">
        <v>1960</v>
      </c>
      <c r="H12" s="99" t="n">
        <v>180</v>
      </c>
      <c r="I12" s="99" t="n">
        <v>1845.84</v>
      </c>
      <c r="J12" s="100" t="n">
        <v>4.062780908645106</v>
      </c>
      <c r="K12" s="99" t="n">
        <v>1845.84</v>
      </c>
      <c r="L12" s="99" t="n">
        <v>36</v>
      </c>
      <c r="M12" s="100" t="n">
        <v>4.062780908645106</v>
      </c>
      <c r="N12" s="29" t="n"/>
    </row>
    <row r="13" ht="26.25" customHeight="1" s="74">
      <c r="A13" s="99" t="n">
        <v>50000</v>
      </c>
      <c r="B13" s="99" t="n">
        <v>1471.68</v>
      </c>
      <c r="C13" s="99" t="n">
        <v>1035.84</v>
      </c>
      <c r="D13" s="99" t="n">
        <v>650</v>
      </c>
      <c r="E13" s="99" t="n">
        <v>650</v>
      </c>
      <c r="F13" s="99" t="n">
        <v>3760</v>
      </c>
      <c r="G13" s="99" t="n">
        <v>2960</v>
      </c>
      <c r="H13" s="99" t="n">
        <v>180</v>
      </c>
      <c r="I13" s="99" t="n">
        <v>1915.84</v>
      </c>
      <c r="J13" s="100" t="n">
        <v>3.896524400462749</v>
      </c>
      <c r="K13" s="99" t="n">
        <v>1915.84</v>
      </c>
      <c r="L13" s="99" t="n">
        <v>36.84307692307699</v>
      </c>
      <c r="M13" s="100" t="n">
        <v>3.896524400462749</v>
      </c>
      <c r="N13" s="29" t="n"/>
    </row>
    <row r="14" ht="26.25" customHeight="1" s="74">
      <c r="A14" s="99" t="n">
        <v>60000</v>
      </c>
      <c r="B14" s="99" t="n">
        <v>1871.68</v>
      </c>
      <c r="C14" s="99" t="n">
        <v>1871.68</v>
      </c>
      <c r="D14" s="99" t="n">
        <v>780</v>
      </c>
      <c r="E14" s="99" t="n">
        <v>780</v>
      </c>
      <c r="F14" s="99" t="n">
        <v>5760</v>
      </c>
      <c r="G14" s="99" t="n">
        <v>4960</v>
      </c>
      <c r="H14" s="99" t="n">
        <v>180</v>
      </c>
      <c r="I14" s="99" t="n">
        <v>1480</v>
      </c>
      <c r="J14" s="100" t="n">
        <v>2.613090311226119</v>
      </c>
      <c r="K14" s="99" t="n">
        <v>1480</v>
      </c>
      <c r="L14" s="99" t="n">
        <v>28.46153846153846</v>
      </c>
      <c r="M14" s="100" t="n">
        <v>2.613090311226119</v>
      </c>
      <c r="N14" s="29" t="n"/>
    </row>
    <row r="15" ht="26.25" customHeight="1" s="74">
      <c r="A15" s="99" t="n">
        <v>70000</v>
      </c>
      <c r="B15" s="99" t="n">
        <v>2271.68</v>
      </c>
      <c r="C15" s="99" t="n">
        <v>2271.68</v>
      </c>
      <c r="D15" s="99" t="n">
        <v>1400</v>
      </c>
      <c r="E15" s="99" t="n">
        <v>910</v>
      </c>
      <c r="F15" s="99" t="n">
        <v>9080</v>
      </c>
      <c r="G15" s="99" t="n">
        <v>7485</v>
      </c>
      <c r="H15" s="99" t="n">
        <v>180</v>
      </c>
      <c r="I15" s="99" t="n">
        <v>2765</v>
      </c>
      <c r="J15" s="100" t="n">
        <v>4.438350429677267</v>
      </c>
      <c r="K15" s="99" t="n">
        <v>2765</v>
      </c>
      <c r="L15" s="99" t="n">
        <v>53.17307692307692</v>
      </c>
      <c r="M15" s="100" t="n">
        <v>4.438350429677267</v>
      </c>
      <c r="N15" s="29" t="n"/>
    </row>
    <row r="16" ht="26.25" customHeight="1" s="74">
      <c r="A16" s="99" t="n">
        <v>80000</v>
      </c>
      <c r="B16" s="99" t="n">
        <v>2481.08</v>
      </c>
      <c r="C16" s="99" t="n">
        <v>2558.92</v>
      </c>
      <c r="D16" s="99" t="n">
        <v>1600</v>
      </c>
      <c r="E16" s="99" t="n">
        <v>1600</v>
      </c>
      <c r="F16" s="99" t="n">
        <v>13280</v>
      </c>
      <c r="G16" s="99" t="n">
        <v>11480</v>
      </c>
      <c r="H16" s="99" t="n">
        <v>180</v>
      </c>
      <c r="I16" s="99" t="n">
        <v>2402.16</v>
      </c>
      <c r="J16" s="100" t="n">
        <v>3.548844028499963</v>
      </c>
      <c r="K16" s="99" t="n">
        <v>2402.16</v>
      </c>
      <c r="L16" s="99" t="n">
        <v>46.19538461538468</v>
      </c>
      <c r="M16" s="100" t="n">
        <v>3.548844028499963</v>
      </c>
      <c r="N16" s="29" t="n"/>
    </row>
    <row r="17" ht="26.25" customHeight="1" s="74">
      <c r="A17" s="99" t="n">
        <v>100000</v>
      </c>
      <c r="B17" s="99" t="n">
        <v>2806.8</v>
      </c>
      <c r="C17" s="99" t="n">
        <v>2887.72</v>
      </c>
      <c r="D17" s="99" t="n">
        <v>2000</v>
      </c>
      <c r="E17" s="99" t="n">
        <v>2000</v>
      </c>
      <c r="F17" s="99" t="n">
        <v>21680</v>
      </c>
      <c r="G17" s="99" t="n">
        <v>19680</v>
      </c>
      <c r="H17" s="99" t="n">
        <v>180</v>
      </c>
      <c r="I17" s="99" t="n">
        <v>2599.08</v>
      </c>
      <c r="J17" s="100" t="n">
        <v>3.308283309658008</v>
      </c>
      <c r="K17" s="99" t="n">
        <v>2599.08</v>
      </c>
      <c r="L17" s="99" t="n">
        <v>49.98230769230773</v>
      </c>
      <c r="M17" s="100" t="n">
        <v>3.308283309658008</v>
      </c>
      <c r="N17" s="29" t="n"/>
    </row>
    <row r="18" ht="26.25" customHeight="1" s="74">
      <c r="A18" s="99" t="n">
        <v>120000</v>
      </c>
      <c r="B18" s="99" t="n">
        <v>3118.36</v>
      </c>
      <c r="C18" s="99" t="n">
        <v>3200.2</v>
      </c>
      <c r="D18" s="99" t="n">
        <v>2400</v>
      </c>
      <c r="E18" s="99" t="n">
        <v>2400</v>
      </c>
      <c r="F18" s="99" t="n">
        <v>30080</v>
      </c>
      <c r="G18" s="99" t="n">
        <v>27880</v>
      </c>
      <c r="H18" s="99" t="n">
        <v>180</v>
      </c>
      <c r="I18" s="99" t="n">
        <v>2798.16</v>
      </c>
      <c r="J18" s="100" t="n">
        <v>3.128139978830929</v>
      </c>
      <c r="K18" s="99" t="n">
        <v>2798.16</v>
      </c>
      <c r="L18" s="99" t="n">
        <v>53.8107692307693</v>
      </c>
      <c r="M18" s="100" t="n">
        <v>3.128139978830929</v>
      </c>
      <c r="N18" s="29" t="n"/>
    </row>
    <row r="19" ht="26.25" customHeight="1" s="74">
      <c r="A19" s="105" t="n">
        <v>200000</v>
      </c>
      <c r="B19" s="105" t="n">
        <v>3453.68</v>
      </c>
      <c r="C19" s="105" t="n">
        <v>3614.44</v>
      </c>
      <c r="D19" s="105" t="n">
        <v>4000</v>
      </c>
      <c r="E19" s="105" t="n">
        <v>4150</v>
      </c>
      <c r="F19" s="105" t="n">
        <v>63680</v>
      </c>
      <c r="G19" s="105" t="n">
        <v>60680</v>
      </c>
      <c r="H19" s="105" t="n">
        <v>180</v>
      </c>
      <c r="I19" s="105" t="n">
        <v>3370</v>
      </c>
      <c r="J19" s="106" t="n">
        <v>2.515936865460052</v>
      </c>
      <c r="K19" s="105" t="n">
        <v>3370</v>
      </c>
      <c r="L19" s="105" t="n">
        <v>64.79307692307674</v>
      </c>
      <c r="M19" s="106" t="n">
        <v>2.515936865460052</v>
      </c>
      <c r="N19" s="29" t="n"/>
    </row>
    <row r="20" ht="18.75" customHeight="1" s="74">
      <c r="A20" s="68" t="n"/>
      <c r="B20" s="68" t="n"/>
      <c r="C20" s="68" t="n"/>
      <c r="D20" s="68" t="n"/>
      <c r="E20" s="68" t="n"/>
      <c r="F20" s="68" t="n"/>
      <c r="G20" s="68" t="n"/>
      <c r="H20" s="69" t="n"/>
      <c r="I20" s="68" t="n"/>
      <c r="J20" s="68" t="n"/>
      <c r="K20" s="69" t="n"/>
      <c r="L20" s="70" t="n"/>
      <c r="M20" s="70" t="n"/>
      <c r="N20" s="29" t="n"/>
    </row>
    <row r="21" ht="20.25" customHeight="1" s="74">
      <c r="A21" s="143" t="inlineStr">
        <is>
          <t>Variations can arise due to rounding</t>
        </is>
      </c>
      <c r="B21" s="68" t="n"/>
      <c r="C21" s="68" t="n"/>
      <c r="D21" s="68" t="n"/>
      <c r="E21" s="68" t="n"/>
      <c r="F21" s="68" t="n"/>
      <c r="G21" s="68" t="n"/>
      <c r="H21" s="69" t="n"/>
      <c r="I21" s="68" t="n"/>
      <c r="J21" s="68" t="n"/>
      <c r="K21" s="69" t="n"/>
      <c r="L21" s="70" t="n"/>
      <c r="M21" s="70" t="n"/>
      <c r="N21" s="29" t="n"/>
    </row>
    <row r="22" ht="20.25" customHeight="1" s="74">
      <c r="A22" s="167" t="inlineStr">
        <is>
          <t>This example assumes that the joint income is divided 65% and 35% between spouses.</t>
        </is>
      </c>
      <c r="B22" s="70" t="n"/>
      <c r="C22" s="70" t="n"/>
      <c r="D22" s="70" t="n"/>
      <c r="E22" s="70" t="n"/>
      <c r="F22" s="70" t="n"/>
      <c r="G22" s="68" t="n"/>
      <c r="H22" s="69" t="n"/>
      <c r="I22" s="68" t="n"/>
      <c r="J22" s="68" t="n"/>
      <c r="K22" s="69" t="n"/>
      <c r="L22" s="70" t="n"/>
      <c r="M22" s="70" t="n"/>
      <c r="N22" s="29" t="n"/>
    </row>
    <row r="23" ht="20.25" customHeight="1" s="74">
      <c r="A23" s="167" t="inlineStr">
        <is>
          <t>(a)  Value during 2007 of the increase in Child Benefit (CB) made in the Budget, which is effective from April, 2007 (i.e. assuming 9 months of CB increase).</t>
        </is>
      </c>
      <c r="B23" s="70" t="n"/>
      <c r="C23" s="70" t="n"/>
      <c r="D23" s="70" t="n"/>
      <c r="E23" s="70" t="n"/>
      <c r="F23" s="70" t="n"/>
      <c r="G23" s="71" t="n"/>
      <c r="H23" s="72" t="n"/>
      <c r="I23" s="70" t="n"/>
      <c r="J23" s="70" t="n"/>
      <c r="K23" s="72" t="n"/>
      <c r="L23" s="70" t="n"/>
      <c r="M23" s="70" t="n"/>
      <c r="N23" s="29" t="n"/>
    </row>
    <row r="24" ht="20.25" customHeight="1" s="74">
      <c r="A24" s="167" t="inlineStr">
        <is>
          <t>(b) Includes payment of an additional quarter of ECS (€250 per child) in 2007 as compared with 2006</t>
        </is>
      </c>
      <c r="B24" s="70" t="n"/>
      <c r="C24" s="70" t="n"/>
      <c r="D24" s="70" t="n"/>
      <c r="E24" s="70" t="n"/>
      <c r="F24" s="70" t="n"/>
      <c r="G24" s="71" t="n"/>
      <c r="H24" s="72" t="n"/>
      <c r="I24" s="70" t="n"/>
      <c r="J24" s="70" t="n"/>
      <c r="K24" s="72" t="n"/>
      <c r="L24" s="70" t="n"/>
      <c r="M24" s="70" t="n"/>
      <c r="N24" s="29" t="n"/>
    </row>
    <row r="25" ht="20.25" customHeight="1" s="74">
      <c r="A25" s="167" t="inlineStr">
        <is>
          <t>(c) Net income includes CB and ECS less deductions of tax, levy and PRSI (where appropriate) and so may be higher than the gross income.</t>
        </is>
      </c>
      <c r="B25" s="70" t="n"/>
      <c r="C25" s="70" t="n"/>
      <c r="D25" s="70" t="n"/>
      <c r="E25" s="70" t="n"/>
      <c r="F25" s="70" t="n"/>
      <c r="G25" s="71" t="n"/>
      <c r="H25" s="72" t="n"/>
      <c r="I25" s="70" t="n"/>
      <c r="J25" s="70" t="n"/>
      <c r="K25" s="72" t="n"/>
      <c r="L25" s="70" t="n"/>
      <c r="M25" s="70" t="n"/>
      <c r="N25" s="29" t="n"/>
    </row>
    <row r="26" ht="20.25" customHeight="1" s="74">
      <c r="A26" s="167" t="inlineStr">
        <is>
          <t>(d) The last three columns show the total gain where Family Income Supplement (FIS) is taken up in both years.  The gain includes the value during 2007  of the</t>
        </is>
      </c>
      <c r="B26" s="70" t="n"/>
      <c r="C26" s="70" t="n"/>
      <c r="D26" s="70" t="n"/>
      <c r="E26" s="70" t="n"/>
      <c r="F26" s="70" t="n"/>
      <c r="G26" s="71" t="n"/>
      <c r="H26" s="72" t="n"/>
      <c r="I26" s="70" t="n"/>
      <c r="J26" s="70" t="n"/>
      <c r="K26" s="72" t="n"/>
      <c r="L26" s="70" t="n"/>
      <c r="M26" s="70" t="n"/>
      <c r="N26" s="29" t="n"/>
    </row>
    <row r="27" ht="20.25" customHeight="1" s="74">
      <c r="A27" s="167" t="inlineStr">
        <is>
          <t xml:space="preserve">      improvement in FIS made in this Budget which takes effect from January, 2007.</t>
        </is>
      </c>
      <c r="B27" s="70" t="n"/>
      <c r="C27" s="70" t="n"/>
      <c r="D27" s="70" t="n"/>
      <c r="E27" s="70" t="n"/>
      <c r="F27" s="70" t="n"/>
      <c r="G27" s="71" t="n"/>
      <c r="H27" s="72" t="n"/>
      <c r="I27" s="70" t="n"/>
      <c r="J27" s="70" t="n"/>
      <c r="K27" s="72" t="n"/>
      <c r="L27" s="70" t="n"/>
      <c r="M27" s="70" t="n"/>
      <c r="N27" s="29" t="n"/>
    </row>
    <row r="28" ht="20.25" customHeight="1" s="74">
      <c r="A28" s="167" t="inlineStr">
        <is>
          <t>(e) Gains per week are based on a 52 week year</t>
        </is>
      </c>
      <c r="B28" s="70" t="n"/>
      <c r="C28" s="70" t="n"/>
      <c r="D28" s="70" t="n"/>
      <c r="E28" s="70" t="n"/>
      <c r="F28" s="70" t="n"/>
      <c r="G28" s="71" t="n"/>
      <c r="H28" s="72" t="n"/>
      <c r="I28" s="70" t="n"/>
      <c r="J28" s="70" t="n"/>
      <c r="K28" s="72" t="n"/>
      <c r="L28" s="70" t="n"/>
      <c r="M28" s="70" t="n"/>
      <c r="N28" s="29" t="n"/>
    </row>
    <row r="29" ht="20.25" customHeight="1" s="74">
      <c r="A29" s="167" t="inlineStr">
        <is>
          <t>(f) Net income includes CB, ECS and FIS (where relevant) less deductions of tax, levy and PRSI (where appropriate) and so may be higher than the gross income.</t>
        </is>
      </c>
      <c r="B29" s="70" t="n"/>
      <c r="C29" s="70" t="n"/>
      <c r="D29" s="70" t="n"/>
      <c r="E29" s="70" t="n"/>
      <c r="F29" s="70" t="n"/>
      <c r="G29" s="71" t="n"/>
      <c r="H29" s="72" t="n"/>
      <c r="I29" s="70" t="n"/>
      <c r="J29" s="70" t="n"/>
      <c r="K29" s="72" t="n"/>
      <c r="L29" s="70" t="n"/>
      <c r="M29" s="70" t="n"/>
      <c r="N29" s="29" t="n"/>
    </row>
    <row r="30" ht="15.75" customHeight="1" s="74">
      <c r="A30" s="54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</row>
    <row r="31">
      <c r="F31" s="13" t="n"/>
    </row>
  </sheetData>
  <mergeCells count="6">
    <mergeCell ref="F4:G4"/>
    <mergeCell ref="A1:M1"/>
    <mergeCell ref="A3:M3"/>
    <mergeCell ref="D4:E4"/>
    <mergeCell ref="A2:M2"/>
    <mergeCell ref="B4:C4"/>
  </mergeCells>
  <printOptions horizontalCentered="1" verticalCentered="1"/>
  <pageMargins left="0.7480314960629921" right="0.7480314960629921" top="0.984251968503937" bottom="0.984251968503937" header="0.5118110236220472" footer="0.5118110236220472"/>
  <pageSetup orientation="landscape" paperSize="9" scale="5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view="pageBreakPreview" zoomScale="60" workbookViewId="0">
      <selection activeCell="A1" sqref="A1:J1"/>
    </sheetView>
  </sheetViews>
  <sheetFormatPr baseColWidth="8" defaultRowHeight="12.75"/>
  <cols>
    <col width="11.85546875" customWidth="1" style="147" min="1" max="1"/>
    <col width="12.7109375" customWidth="1" style="147" min="2" max="2"/>
    <col width="13.85546875" customWidth="1" style="147" min="3" max="3"/>
    <col width="10.7109375" customWidth="1" style="147" min="4" max="4"/>
    <col width="13.85546875" customWidth="1" style="147" min="5" max="5"/>
    <col width="15.85546875" customWidth="1" style="147" min="6" max="6"/>
    <col width="15" customWidth="1" style="147" min="7" max="7"/>
    <col width="14.28515625" customWidth="1" style="147" min="8" max="8"/>
    <col width="15.140625" customWidth="1" style="147" min="9" max="9"/>
    <col width="20.7109375" customWidth="1" style="147" min="10" max="10"/>
    <col width="9.140625" customWidth="1" style="147" min="11" max="16384"/>
  </cols>
  <sheetData>
    <row r="1" ht="28.5" customHeight="1" s="74">
      <c r="A1" s="175" t="inlineStr">
        <is>
          <t xml:space="preserve">                    EXAMPLE 4</t>
        </is>
      </c>
    </row>
    <row r="2" ht="18.75" customHeight="1" s="74">
      <c r="A2" s="178" t="inlineStr">
        <is>
          <t xml:space="preserve">                       Single person taxed under PAYE </t>
        </is>
      </c>
    </row>
    <row r="3" ht="18.75" customHeight="1" s="74">
      <c r="A3" s="179" t="inlineStr">
        <is>
          <t xml:space="preserve">                             Full  rate PRSI contributor</t>
        </is>
      </c>
      <c r="B3" s="195" t="n"/>
      <c r="C3" s="195" t="n"/>
      <c r="D3" s="195" t="n"/>
      <c r="E3" s="195" t="n"/>
      <c r="F3" s="195" t="n"/>
      <c r="G3" s="195" t="n"/>
      <c r="H3" s="195" t="n"/>
      <c r="I3" s="195" t="n"/>
      <c r="J3" s="195" t="n"/>
    </row>
    <row r="4" ht="15.75" customHeight="1" s="74">
      <c r="A4" s="180" t="inlineStr">
        <is>
          <t>GROSS</t>
        </is>
      </c>
      <c r="B4" s="180" t="inlineStr">
        <is>
          <t>PRSI Liability</t>
        </is>
      </c>
      <c r="C4" s="197" t="n"/>
      <c r="D4" s="180" t="inlineStr">
        <is>
          <t>Levy Liability</t>
        </is>
      </c>
      <c r="E4" s="197" t="n"/>
      <c r="F4" s="180" t="inlineStr">
        <is>
          <t>Tax Liability</t>
        </is>
      </c>
      <c r="G4" s="197" t="n"/>
      <c r="H4" s="180" t="inlineStr">
        <is>
          <t>Total</t>
        </is>
      </c>
      <c r="I4" s="180" t="inlineStr">
        <is>
          <t xml:space="preserve">Total </t>
        </is>
      </c>
      <c r="J4" s="180" t="inlineStr">
        <is>
          <t xml:space="preserve">Gain as % of </t>
        </is>
      </c>
    </row>
    <row r="5" ht="15.75" customHeight="1" s="74">
      <c r="A5" s="32" t="inlineStr">
        <is>
          <t>INCOME</t>
        </is>
      </c>
      <c r="B5" s="33" t="inlineStr">
        <is>
          <t>Existing</t>
        </is>
      </c>
      <c r="C5" s="33" t="inlineStr">
        <is>
          <t>Proposed</t>
        </is>
      </c>
      <c r="D5" s="33" t="inlineStr">
        <is>
          <t>Existing</t>
        </is>
      </c>
      <c r="E5" s="33" t="inlineStr">
        <is>
          <t>Proposed</t>
        </is>
      </c>
      <c r="F5" s="33" t="inlineStr">
        <is>
          <t>Existing</t>
        </is>
      </c>
      <c r="G5" s="193" t="inlineStr">
        <is>
          <t>Proposed</t>
        </is>
      </c>
      <c r="H5" s="32" t="inlineStr">
        <is>
          <t>Gain</t>
        </is>
      </c>
      <c r="I5" s="51" t="inlineStr">
        <is>
          <t>Gain</t>
        </is>
      </c>
      <c r="J5" s="32" t="inlineStr">
        <is>
          <t>Net Income</t>
        </is>
      </c>
    </row>
    <row r="6" ht="15.75" customHeight="1" s="74">
      <c r="A6" s="32" t="n"/>
      <c r="B6" s="33" t="n"/>
      <c r="C6" s="33" t="n"/>
      <c r="D6" s="33" t="n"/>
      <c r="E6" s="33" t="n"/>
      <c r="F6" s="32" t="n"/>
      <c r="G6" s="32" t="n"/>
      <c r="H6" s="32" t="inlineStr">
        <is>
          <t>(Per Year)</t>
        </is>
      </c>
      <c r="I6" s="35" t="inlineStr">
        <is>
          <t>(Per Week) (a)</t>
        </is>
      </c>
      <c r="J6" s="35" t="n"/>
    </row>
    <row r="7" ht="15.75" customHeight="1" s="74">
      <c r="A7" s="33" t="inlineStr">
        <is>
          <t>€</t>
        </is>
      </c>
      <c r="B7" s="33" t="inlineStr">
        <is>
          <t>€</t>
        </is>
      </c>
      <c r="C7" s="33" t="inlineStr">
        <is>
          <t>€</t>
        </is>
      </c>
      <c r="D7" s="33" t="inlineStr">
        <is>
          <t>€</t>
        </is>
      </c>
      <c r="E7" s="33" t="inlineStr">
        <is>
          <t>€</t>
        </is>
      </c>
      <c r="F7" s="33" t="inlineStr">
        <is>
          <t>€</t>
        </is>
      </c>
      <c r="G7" s="33" t="inlineStr">
        <is>
          <t>€</t>
        </is>
      </c>
      <c r="H7" s="33" t="inlineStr">
        <is>
          <t>€</t>
        </is>
      </c>
      <c r="I7" s="33" t="inlineStr">
        <is>
          <t>€</t>
        </is>
      </c>
      <c r="J7" s="18" t="inlineStr">
        <is>
          <t>%</t>
        </is>
      </c>
    </row>
    <row r="8" ht="15.75" customHeight="1" s="74">
      <c r="A8" s="75" t="n">
        <v>17500</v>
      </c>
      <c r="B8" s="19" t="n">
        <v>435.84</v>
      </c>
      <c r="C8" s="19" t="n">
        <v>0</v>
      </c>
      <c r="D8" s="19" t="n">
        <v>0</v>
      </c>
      <c r="E8" s="19" t="n">
        <v>0</v>
      </c>
      <c r="F8" s="19" t="n">
        <v>380</v>
      </c>
      <c r="G8" s="19" t="n">
        <v>0</v>
      </c>
      <c r="H8" s="19" t="n">
        <v>815.84</v>
      </c>
      <c r="I8" s="59" t="n">
        <v>15.68923076923077</v>
      </c>
      <c r="J8" s="52" t="n">
        <v>4.889907553032338</v>
      </c>
    </row>
    <row r="9" ht="15.75" customHeight="1" s="74">
      <c r="A9" s="75" t="inlineStr">
        <is>
          <t>25,000 (b)</t>
        </is>
      </c>
      <c r="B9" s="19" t="n">
        <v>734.24</v>
      </c>
      <c r="C9" s="19" t="n">
        <v>734.24</v>
      </c>
      <c r="D9" s="19" t="n">
        <v>499.2</v>
      </c>
      <c r="E9" s="19" t="n">
        <v>0</v>
      </c>
      <c r="F9" s="19" t="n">
        <v>1872</v>
      </c>
      <c r="G9" s="19" t="n">
        <v>1472</v>
      </c>
      <c r="H9" s="19" t="n">
        <v>899.2000000000007</v>
      </c>
      <c r="I9" s="19" t="n">
        <v>17.29230769230771</v>
      </c>
      <c r="J9" s="52" t="n">
        <v>4.114473135126037</v>
      </c>
    </row>
    <row r="10" ht="15.75" customHeight="1" s="74">
      <c r="A10" s="75" t="n">
        <v>30000</v>
      </c>
      <c r="B10" s="19" t="n">
        <v>935.84</v>
      </c>
      <c r="C10" s="19" t="n">
        <v>935.84</v>
      </c>
      <c r="D10" s="19" t="n">
        <v>600</v>
      </c>
      <c r="E10" s="19" t="n">
        <v>600</v>
      </c>
      <c r="F10" s="19" t="n">
        <v>2880</v>
      </c>
      <c r="G10" s="19" t="n">
        <v>2480</v>
      </c>
      <c r="H10" s="19" t="n">
        <v>400</v>
      </c>
      <c r="I10" s="19">
        <f>H10/52</f>
        <v/>
      </c>
      <c r="J10" s="52" t="n">
        <v>1.563467395450935</v>
      </c>
    </row>
    <row r="11" ht="15.75" customHeight="1" s="74">
      <c r="A11" s="75" t="n">
        <v>35000</v>
      </c>
      <c r="B11" s="19" t="n">
        <v>1135.84</v>
      </c>
      <c r="C11" s="19" t="n">
        <v>1135.84</v>
      </c>
      <c r="D11" s="19" t="n">
        <v>700</v>
      </c>
      <c r="E11" s="19" t="n">
        <v>700</v>
      </c>
      <c r="F11" s="19" t="n">
        <v>4540</v>
      </c>
      <c r="G11" s="19" t="n">
        <v>3690</v>
      </c>
      <c r="H11" s="19" t="n">
        <v>850</v>
      </c>
      <c r="I11" s="19">
        <f>H11/52</f>
        <v/>
      </c>
      <c r="J11" s="52" t="n">
        <v>2.969519454894047</v>
      </c>
    </row>
    <row r="12" ht="15.75" customHeight="1" s="74">
      <c r="A12" s="75" t="n">
        <v>40000</v>
      </c>
      <c r="B12" s="19" t="n">
        <v>1335.84</v>
      </c>
      <c r="C12" s="19" t="n">
        <v>1335.84</v>
      </c>
      <c r="D12" s="19" t="n">
        <v>800</v>
      </c>
      <c r="E12" s="19" t="n">
        <v>800</v>
      </c>
      <c r="F12" s="19" t="n">
        <v>6640</v>
      </c>
      <c r="G12" s="19" t="n">
        <v>5740</v>
      </c>
      <c r="H12" s="19" t="n">
        <v>900</v>
      </c>
      <c r="I12" s="19">
        <f>H12/52</f>
        <v/>
      </c>
      <c r="J12" s="52" t="n">
        <v>2.882383385173532</v>
      </c>
      <c r="K12" s="137" t="n"/>
    </row>
    <row r="13" ht="15.75" customHeight="1" s="74">
      <c r="A13" s="75" t="n">
        <v>45000</v>
      </c>
      <c r="B13" s="19" t="n">
        <v>1535.84</v>
      </c>
      <c r="C13" s="19" t="n">
        <v>1535.84</v>
      </c>
      <c r="D13" s="19" t="n">
        <v>900</v>
      </c>
      <c r="E13" s="19" t="n">
        <v>900</v>
      </c>
      <c r="F13" s="49" t="n">
        <v>8740</v>
      </c>
      <c r="G13" s="49" t="n">
        <v>7790</v>
      </c>
      <c r="H13" s="49" t="n">
        <v>950</v>
      </c>
      <c r="I13" s="49">
        <f>H13/52</f>
        <v/>
      </c>
      <c r="J13" s="20" t="n">
        <v>2.808643289293806</v>
      </c>
      <c r="K13" s="137" t="n"/>
    </row>
    <row r="14" ht="15.75" customHeight="1" s="74">
      <c r="A14" s="75" t="n">
        <v>50000</v>
      </c>
      <c r="B14" s="19" t="n">
        <v>1615.08</v>
      </c>
      <c r="C14" s="19" t="n">
        <v>1692.92</v>
      </c>
      <c r="D14" s="19" t="n">
        <v>1000</v>
      </c>
      <c r="E14" s="49" t="n">
        <v>1000</v>
      </c>
      <c r="F14" s="49" t="n">
        <v>10840</v>
      </c>
      <c r="G14" s="49" t="n">
        <v>9840</v>
      </c>
      <c r="H14" s="49" t="n">
        <v>922.1600000000035</v>
      </c>
      <c r="I14" s="49">
        <f>H14/52</f>
        <v/>
      </c>
      <c r="J14" s="20" t="n">
        <v>2.523360291936618</v>
      </c>
      <c r="K14" s="137" t="n"/>
    </row>
    <row r="15" ht="15.75" customHeight="1" s="74">
      <c r="A15" s="75" t="n">
        <v>55000</v>
      </c>
      <c r="B15" s="19" t="n">
        <v>1638.018461538461</v>
      </c>
      <c r="C15" s="49" t="n">
        <v>1713.24</v>
      </c>
      <c r="D15" s="49" t="n">
        <v>1100</v>
      </c>
      <c r="E15" s="49" t="n">
        <v>1100</v>
      </c>
      <c r="F15" s="49" t="n">
        <v>12940</v>
      </c>
      <c r="G15" s="49" t="n">
        <v>11890</v>
      </c>
      <c r="H15" s="49" t="n">
        <v>974.7784615384662</v>
      </c>
      <c r="I15" s="49">
        <f>H15/52</f>
        <v/>
      </c>
      <c r="J15" s="20" t="n">
        <v>2.478965767747533</v>
      </c>
      <c r="K15" s="137" t="n"/>
    </row>
    <row r="16" ht="15.75" customHeight="1" s="74">
      <c r="A16" s="80" t="n">
        <v>60000</v>
      </c>
      <c r="B16" s="49" t="n">
        <v>1655.72</v>
      </c>
      <c r="C16" s="49" t="n">
        <v>1733.56</v>
      </c>
      <c r="D16" s="49" t="n">
        <v>1200</v>
      </c>
      <c r="E16" s="49" t="n">
        <v>1200</v>
      </c>
      <c r="F16" s="49" t="n">
        <v>15040</v>
      </c>
      <c r="G16" s="49" t="n">
        <v>13940</v>
      </c>
      <c r="H16" s="49" t="n">
        <v>1022.16</v>
      </c>
      <c r="I16" s="49">
        <f>H16/52</f>
        <v/>
      </c>
      <c r="J16" s="20" t="n">
        <v>2.427686686484138</v>
      </c>
      <c r="K16" s="137" t="n"/>
    </row>
    <row r="17" ht="15.75" customHeight="1" s="74">
      <c r="A17" s="80" t="n">
        <v>80000</v>
      </c>
      <c r="B17" s="49" t="n">
        <v>1706.52</v>
      </c>
      <c r="C17" s="49" t="n">
        <v>1789.44</v>
      </c>
      <c r="D17" s="49" t="n">
        <v>1600</v>
      </c>
      <c r="E17" s="49" t="n">
        <v>1600</v>
      </c>
      <c r="F17" s="49" t="n">
        <v>23440</v>
      </c>
      <c r="G17" s="49" t="n">
        <v>22140</v>
      </c>
      <c r="H17" s="49" t="n">
        <v>1217.08</v>
      </c>
      <c r="I17" s="49">
        <f>H17/52</f>
        <v/>
      </c>
      <c r="J17" s="20" t="n">
        <v>2.285446885349092</v>
      </c>
      <c r="K17" s="137" t="n"/>
    </row>
    <row r="18" ht="15.75" customHeight="1" s="74">
      <c r="A18" s="80" t="n">
        <v>100000</v>
      </c>
      <c r="B18" s="49" t="n">
        <v>1737</v>
      </c>
      <c r="C18" s="49" t="n">
        <v>1819.92</v>
      </c>
      <c r="D18" s="49" t="n">
        <v>2000</v>
      </c>
      <c r="E18" s="49" t="n">
        <v>2000</v>
      </c>
      <c r="F18" s="49" t="n">
        <v>31840</v>
      </c>
      <c r="G18" s="49" t="n">
        <v>30340</v>
      </c>
      <c r="H18" s="49" t="n">
        <v>1417.08</v>
      </c>
      <c r="I18" s="49">
        <f>H18/52</f>
        <v/>
      </c>
      <c r="J18" s="20" t="n">
        <v>2.19964919361098</v>
      </c>
      <c r="K18" s="137" t="n"/>
    </row>
    <row r="19" ht="15.75" customHeight="1" s="74">
      <c r="A19" s="80" t="n">
        <v>120000</v>
      </c>
      <c r="B19" s="49" t="n">
        <v>1757.32</v>
      </c>
      <c r="C19" s="49" t="n">
        <v>1840.24</v>
      </c>
      <c r="D19" s="49" t="n">
        <v>2400</v>
      </c>
      <c r="E19" s="49" t="n">
        <v>2499.5</v>
      </c>
      <c r="F19" s="49" t="n">
        <v>40240</v>
      </c>
      <c r="G19" s="49" t="n">
        <v>38540</v>
      </c>
      <c r="H19" s="49" t="n">
        <v>1517.58</v>
      </c>
      <c r="I19" s="49">
        <f>H19/52</f>
        <v/>
      </c>
      <c r="J19" s="20" t="n">
        <v>2.0073097937798</v>
      </c>
      <c r="K19" s="137" t="n"/>
    </row>
    <row r="20" ht="15.75" customHeight="1" s="74">
      <c r="A20" s="136" t="n">
        <v>200000</v>
      </c>
      <c r="B20" s="135" t="n">
        <v>1797.96</v>
      </c>
      <c r="C20" s="135" t="n">
        <v>1885.96</v>
      </c>
      <c r="D20" s="135" t="n">
        <v>4000</v>
      </c>
      <c r="E20" s="135" t="n">
        <v>4499.5</v>
      </c>
      <c r="F20" s="135" t="n">
        <v>73840</v>
      </c>
      <c r="G20" s="135" t="n">
        <v>71340</v>
      </c>
      <c r="H20" s="135" t="n">
        <v>1912.5</v>
      </c>
      <c r="I20" s="135">
        <f>H20/52</f>
        <v/>
      </c>
      <c r="J20" s="22" t="n">
        <v>1.588956119387807</v>
      </c>
      <c r="K20" s="137" t="n"/>
    </row>
    <row r="21" ht="15.75" customHeight="1" s="74">
      <c r="A21" s="134" t="n"/>
      <c r="B21" s="155" t="n"/>
      <c r="C21" s="155" t="n"/>
      <c r="D21" s="155" t="n"/>
      <c r="E21" s="155" t="n"/>
      <c r="F21" s="155" t="n"/>
      <c r="G21" s="155" t="n"/>
      <c r="H21" s="155" t="n"/>
      <c r="I21" s="155" t="n"/>
      <c r="J21" s="24" t="n"/>
      <c r="K21" s="147" t="n"/>
    </row>
    <row r="22" ht="15.75" customHeight="1" s="74">
      <c r="A22" s="12" t="inlineStr">
        <is>
          <t>Variations can arise due to rounding</t>
        </is>
      </c>
      <c r="B22" s="29" t="n"/>
      <c r="C22" s="29" t="n"/>
      <c r="D22" s="29" t="n"/>
      <c r="E22" s="29" t="n"/>
      <c r="F22" s="29" t="n"/>
      <c r="G22" s="29" t="n"/>
      <c r="H22" s="29" t="n"/>
    </row>
    <row r="23" ht="15.75" customHeight="1" s="74">
      <c r="A23" s="147" t="inlineStr">
        <is>
          <t>(a) Gains per week are based on a 52 week year</t>
        </is>
      </c>
      <c r="B23" s="29" t="n"/>
      <c r="C23" s="29" t="n"/>
      <c r="D23" s="29" t="n"/>
      <c r="E23" s="29" t="n"/>
      <c r="F23" s="29" t="n"/>
      <c r="G23" s="29" t="n"/>
      <c r="H23" s="29" t="n"/>
    </row>
    <row r="24" ht="15.75" customHeight="1" s="74">
      <c r="A24" s="147" t="inlineStr">
        <is>
          <t>(b) Recte €24,960</t>
        </is>
      </c>
      <c r="B24" s="29" t="n"/>
      <c r="C24" s="29" t="n"/>
      <c r="D24" s="54" t="n"/>
      <c r="E24" s="29" t="n"/>
      <c r="F24" s="29" t="n"/>
      <c r="G24" s="29" t="n"/>
      <c r="H24" s="29" t="n"/>
    </row>
  </sheetData>
  <mergeCells count="6">
    <mergeCell ref="F4:G4"/>
    <mergeCell ref="A1:J1"/>
    <mergeCell ref="A3:J3"/>
    <mergeCell ref="D4:E4"/>
    <mergeCell ref="A2:J2"/>
    <mergeCell ref="B4:C4"/>
  </mergeCells>
  <printOptions horizontalCentered="1" verticalCentered="1"/>
  <pageMargins left="0.7480314960629921" right="0.7480314960629921" top="0.984251968503937" bottom="0.984251968503937" header="0.5118110236220472" footer="0.5118110236220472"/>
  <pageSetup orientation="landscape" paperSize="9" scale="9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H21" sqref="H21"/>
    </sheetView>
  </sheetViews>
  <sheetFormatPr baseColWidth="8" defaultRowHeight="12.75"/>
  <cols>
    <col width="10.7109375" customWidth="1" style="147" min="1" max="1"/>
    <col width="12.7109375" customWidth="1" style="147" min="2" max="2"/>
    <col width="12.42578125" customWidth="1" style="147" min="3" max="3"/>
    <col width="11.7109375" customWidth="1" style="147" min="4" max="4"/>
    <col width="12.85546875" customWidth="1" style="147" min="5" max="6"/>
    <col width="14.5703125" bestFit="1" customWidth="1" style="147" min="7" max="7"/>
    <col width="15.7109375" customWidth="1" style="147" min="8" max="8"/>
    <col width="17.85546875" customWidth="1" style="147" min="9" max="9"/>
    <col width="18.28515625" customWidth="1" style="147" min="10" max="10"/>
    <col width="9.140625" customWidth="1" style="147" min="11" max="16384"/>
  </cols>
  <sheetData>
    <row r="1" ht="18.75" customHeight="1" s="74">
      <c r="A1" s="175" t="inlineStr">
        <is>
          <t>EXAMPLE 5</t>
        </is>
      </c>
    </row>
    <row r="2" ht="18.75" customHeight="1" s="74">
      <c r="A2" s="178" t="inlineStr">
        <is>
          <t xml:space="preserve">   Married couple, one income, no children taxed under PAYE </t>
        </is>
      </c>
    </row>
    <row r="3" ht="18.75" customHeight="1" s="74">
      <c r="A3" s="179" t="inlineStr">
        <is>
          <t xml:space="preserve">   Modified rate PRSI contributor</t>
        </is>
      </c>
      <c r="B3" s="195" t="n"/>
      <c r="C3" s="195" t="n"/>
      <c r="D3" s="195" t="n"/>
      <c r="E3" s="195" t="n"/>
      <c r="F3" s="195" t="n"/>
      <c r="G3" s="195" t="n"/>
      <c r="H3" s="195" t="n"/>
      <c r="I3" s="195" t="n"/>
      <c r="J3" s="195" t="n"/>
    </row>
    <row r="4" ht="15.75" customHeight="1" s="74">
      <c r="A4" s="180" t="inlineStr">
        <is>
          <t>GROSS</t>
        </is>
      </c>
      <c r="B4" s="180" t="inlineStr">
        <is>
          <t>PRSI Liability</t>
        </is>
      </c>
      <c r="C4" s="197" t="n"/>
      <c r="D4" s="180" t="inlineStr">
        <is>
          <t>Levy Liability</t>
        </is>
      </c>
      <c r="E4" s="197" t="n"/>
      <c r="F4" s="180" t="inlineStr">
        <is>
          <t>Tax Liability</t>
        </is>
      </c>
      <c r="G4" s="197" t="n"/>
      <c r="H4" s="180" t="inlineStr">
        <is>
          <t>Total</t>
        </is>
      </c>
      <c r="I4" s="180" t="inlineStr">
        <is>
          <t>Total</t>
        </is>
      </c>
      <c r="J4" s="55" t="inlineStr">
        <is>
          <t xml:space="preserve">Gain as % of </t>
        </is>
      </c>
      <c r="K4" s="54" t="n"/>
    </row>
    <row r="5" ht="15.75" customHeight="1" s="74">
      <c r="A5" s="32" t="inlineStr">
        <is>
          <t>INCOME</t>
        </is>
      </c>
      <c r="B5" s="33" t="inlineStr">
        <is>
          <t>Existing</t>
        </is>
      </c>
      <c r="C5" s="33" t="inlineStr">
        <is>
          <t>Proposed</t>
        </is>
      </c>
      <c r="D5" s="33" t="inlineStr">
        <is>
          <t>Existing</t>
        </is>
      </c>
      <c r="E5" s="33" t="inlineStr">
        <is>
          <t>Proposed</t>
        </is>
      </c>
      <c r="F5" s="33" t="inlineStr">
        <is>
          <t>Existing</t>
        </is>
      </c>
      <c r="G5" s="33" t="inlineStr">
        <is>
          <t>Proposed</t>
        </is>
      </c>
      <c r="H5" s="32" t="inlineStr">
        <is>
          <t>Gain</t>
        </is>
      </c>
      <c r="I5" s="32" t="inlineStr">
        <is>
          <t>Gain</t>
        </is>
      </c>
      <c r="J5" s="56" t="inlineStr">
        <is>
          <t>Net Income</t>
        </is>
      </c>
      <c r="K5" s="54" t="n"/>
    </row>
    <row r="6" ht="15.75" customHeight="1" s="74">
      <c r="A6" s="32" t="n"/>
      <c r="B6" s="33" t="n"/>
      <c r="C6" s="33" t="n"/>
      <c r="D6" s="33" t="n"/>
      <c r="E6" s="33" t="n"/>
      <c r="F6" s="32" t="n"/>
      <c r="G6" s="32" t="n"/>
      <c r="H6" s="32" t="inlineStr">
        <is>
          <t>(Per Year)</t>
        </is>
      </c>
      <c r="I6" s="32" t="inlineStr">
        <is>
          <t>(Per Week) (a)</t>
        </is>
      </c>
      <c r="J6" s="56" t="n"/>
      <c r="K6" s="54" t="n"/>
    </row>
    <row r="7" ht="15.75" customHeight="1" s="74">
      <c r="A7" s="33" t="inlineStr">
        <is>
          <t>€</t>
        </is>
      </c>
      <c r="B7" s="33" t="inlineStr">
        <is>
          <t>€</t>
        </is>
      </c>
      <c r="C7" s="33" t="inlineStr">
        <is>
          <t>€</t>
        </is>
      </c>
      <c r="D7" s="33" t="inlineStr">
        <is>
          <t>€</t>
        </is>
      </c>
      <c r="E7" s="33" t="inlineStr">
        <is>
          <t>€</t>
        </is>
      </c>
      <c r="F7" s="33" t="inlineStr">
        <is>
          <t>€</t>
        </is>
      </c>
      <c r="G7" s="33" t="inlineStr">
        <is>
          <t>€</t>
        </is>
      </c>
      <c r="H7" s="33" t="inlineStr">
        <is>
          <t>€</t>
        </is>
      </c>
      <c r="I7" s="58" t="inlineStr">
        <is>
          <t>€</t>
        </is>
      </c>
      <c r="J7" s="57" t="inlineStr">
        <is>
          <t>%</t>
        </is>
      </c>
      <c r="K7" s="54" t="n"/>
    </row>
    <row r="8" ht="15.75" customHeight="1" s="74">
      <c r="A8" s="75" t="n">
        <v>17500</v>
      </c>
      <c r="B8" s="19" t="n">
        <v>145.332</v>
      </c>
      <c r="C8" s="19" t="n">
        <v>0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145.3319999999985</v>
      </c>
      <c r="I8" s="19" t="n">
        <v>2.794846153846125</v>
      </c>
      <c r="J8" s="52" t="n">
        <v>0.8374231071432684</v>
      </c>
      <c r="K8" s="54" t="n"/>
    </row>
    <row r="9" ht="15.75" customHeight="1" s="74">
      <c r="A9" s="75" t="inlineStr">
        <is>
          <t>25,000 (b)</t>
        </is>
      </c>
      <c r="B9" s="19" t="n">
        <v>212.472</v>
      </c>
      <c r="C9" s="19" t="n">
        <v>212.472</v>
      </c>
      <c r="D9" s="19" t="n">
        <v>499.2</v>
      </c>
      <c r="E9" s="19" t="n">
        <v>0</v>
      </c>
      <c r="F9" s="19" t="n">
        <v>242</v>
      </c>
      <c r="G9" s="19" t="n">
        <v>0</v>
      </c>
      <c r="H9" s="19" t="n">
        <v>741.2000000000007</v>
      </c>
      <c r="I9" s="19" t="n">
        <v>14.25384615384617</v>
      </c>
      <c r="J9" s="52" t="n">
        <v>3.087519257422463</v>
      </c>
      <c r="K9" s="54" t="n"/>
    </row>
    <row r="10" ht="15.75" customHeight="1" s="74">
      <c r="A10" s="75" t="n">
        <v>30000</v>
      </c>
      <c r="B10" s="19" t="n">
        <v>257.832</v>
      </c>
      <c r="C10" s="19" t="n">
        <v>257.832</v>
      </c>
      <c r="D10" s="19" t="n">
        <v>600</v>
      </c>
      <c r="E10" s="19" t="n">
        <v>600</v>
      </c>
      <c r="F10" s="19" t="n">
        <v>1170</v>
      </c>
      <c r="G10" s="19" t="n">
        <v>640</v>
      </c>
      <c r="H10" s="19" t="n">
        <v>530</v>
      </c>
      <c r="I10" s="19">
        <f>H10/52</f>
        <v/>
      </c>
      <c r="J10" s="52" t="n">
        <v>1.894740514928982</v>
      </c>
      <c r="K10" s="54" t="n"/>
    </row>
    <row r="11" ht="15.75" customHeight="1" s="74">
      <c r="A11" s="75" t="n">
        <v>35000</v>
      </c>
      <c r="B11" s="19" t="n">
        <v>302.832</v>
      </c>
      <c r="C11" s="19" t="n">
        <v>302.832</v>
      </c>
      <c r="D11" s="19" t="n">
        <v>700</v>
      </c>
      <c r="E11" s="19" t="n">
        <v>700</v>
      </c>
      <c r="F11" s="19" t="n">
        <v>2170</v>
      </c>
      <c r="G11" s="19" t="n">
        <v>1640</v>
      </c>
      <c r="H11" s="19" t="n">
        <v>530</v>
      </c>
      <c r="I11" s="19">
        <f>H11/52</f>
        <v/>
      </c>
      <c r="J11" s="52" t="n">
        <v>1.665243982750837</v>
      </c>
      <c r="K11" s="54" t="n"/>
    </row>
    <row r="12" ht="15.75" customHeight="1" s="74">
      <c r="A12" s="75" t="n">
        <v>40000</v>
      </c>
      <c r="B12" s="19" t="n">
        <v>347.832</v>
      </c>
      <c r="C12" s="19" t="n">
        <v>347.832</v>
      </c>
      <c r="D12" s="19" t="n">
        <v>800</v>
      </c>
      <c r="E12" s="19" t="n">
        <v>800</v>
      </c>
      <c r="F12" s="19" t="n">
        <v>3170</v>
      </c>
      <c r="G12" s="19" t="n">
        <v>2640</v>
      </c>
      <c r="H12" s="19" t="n">
        <v>530</v>
      </c>
      <c r="I12" s="19">
        <f>H12/52</f>
        <v/>
      </c>
      <c r="J12" s="52" t="n">
        <v>1.485335756504482</v>
      </c>
      <c r="K12" s="54" t="n"/>
    </row>
    <row r="13" ht="15.75" customHeight="1" s="74">
      <c r="A13" s="75" t="n">
        <v>45000</v>
      </c>
      <c r="B13" s="19" t="n">
        <v>392.8319999999999</v>
      </c>
      <c r="C13" s="19" t="n">
        <v>392.8319999999999</v>
      </c>
      <c r="D13" s="19" t="n">
        <v>900</v>
      </c>
      <c r="E13" s="19" t="n">
        <v>900</v>
      </c>
      <c r="F13" s="19" t="n">
        <v>5050</v>
      </c>
      <c r="G13" s="19" t="n">
        <v>4060</v>
      </c>
      <c r="H13" s="19" t="n">
        <v>990</v>
      </c>
      <c r="I13" s="19">
        <f>H13/52</f>
        <v/>
      </c>
      <c r="J13" s="52" t="n">
        <v>2.560973944081988</v>
      </c>
      <c r="K13" s="54" t="n"/>
    </row>
    <row r="14" ht="15.75" customHeight="1" s="74">
      <c r="A14" s="75" t="n">
        <v>50000</v>
      </c>
      <c r="B14" s="19" t="n">
        <v>407.934</v>
      </c>
      <c r="C14" s="19" t="n">
        <v>427.266</v>
      </c>
      <c r="D14" s="19" t="n">
        <v>1000</v>
      </c>
      <c r="E14" s="19" t="n">
        <v>1000</v>
      </c>
      <c r="F14" s="19" t="n">
        <v>7150</v>
      </c>
      <c r="G14" s="19" t="n">
        <v>6110</v>
      </c>
      <c r="H14" s="19" t="n">
        <v>1020.667999999998</v>
      </c>
      <c r="I14" s="19">
        <f>H14/52</f>
        <v/>
      </c>
      <c r="J14" s="52" t="n">
        <v>2.462879143139239</v>
      </c>
      <c r="K14" s="54" t="n"/>
    </row>
    <row r="15" ht="15.75" customHeight="1" s="74">
      <c r="A15" s="75" t="n">
        <v>60000</v>
      </c>
      <c r="B15" s="19" t="n">
        <v>409.8059999999999</v>
      </c>
      <c r="C15" s="19" t="n">
        <v>429.138</v>
      </c>
      <c r="D15" s="19" t="n">
        <v>1200</v>
      </c>
      <c r="E15" s="19" t="n">
        <v>1200</v>
      </c>
      <c r="F15" s="19" t="n">
        <v>11350</v>
      </c>
      <c r="G15" s="19" t="n">
        <v>10210</v>
      </c>
      <c r="H15" s="19" t="n">
        <v>1120.667999999998</v>
      </c>
      <c r="I15" s="19">
        <f>H15/52</f>
        <v/>
      </c>
      <c r="J15" s="52" t="n">
        <v>2.382362623759583</v>
      </c>
      <c r="K15" s="54" t="n"/>
    </row>
    <row r="16" ht="15.75" customHeight="1" s="74">
      <c r="A16" s="75" t="n">
        <v>80000</v>
      </c>
      <c r="B16" s="19" t="n">
        <v>412.146</v>
      </c>
      <c r="C16" s="19" t="n">
        <v>431.712</v>
      </c>
      <c r="D16" s="19" t="n">
        <v>1600</v>
      </c>
      <c r="E16" s="19" t="n">
        <v>1600</v>
      </c>
      <c r="F16" s="19" t="n">
        <v>19750</v>
      </c>
      <c r="G16" s="19" t="n">
        <v>18410</v>
      </c>
      <c r="H16" s="19" t="n">
        <v>1320.433999999994</v>
      </c>
      <c r="I16" s="19">
        <f>H16/52</f>
        <v/>
      </c>
      <c r="J16" s="52" t="n">
        <v>2.267312253641753</v>
      </c>
      <c r="K16" s="54" t="n"/>
    </row>
    <row r="17" ht="15.75" customHeight="1" s="74">
      <c r="A17" s="75" t="n">
        <v>100000</v>
      </c>
      <c r="B17" s="19" t="n">
        <v>413.55</v>
      </c>
      <c r="C17" s="19" t="n">
        <v>433.1159999999999</v>
      </c>
      <c r="D17" s="19" t="n">
        <v>2000</v>
      </c>
      <c r="E17" s="19" t="n">
        <v>2000</v>
      </c>
      <c r="F17" s="19" t="n">
        <v>28150</v>
      </c>
      <c r="G17" s="19" t="n">
        <v>26610</v>
      </c>
      <c r="H17" s="19" t="n">
        <v>1520.434000000008</v>
      </c>
      <c r="I17" s="19">
        <f>H17/52</f>
        <v/>
      </c>
      <c r="J17" s="52" t="n">
        <v>2.189677035620353</v>
      </c>
      <c r="K17" s="54" t="n"/>
    </row>
    <row r="18" ht="15.75" customHeight="1" s="74">
      <c r="A18" s="80" t="n">
        <v>120000</v>
      </c>
      <c r="B18" s="49" t="n">
        <v>414.4859999999999</v>
      </c>
      <c r="C18" s="49" t="n">
        <v>434.052</v>
      </c>
      <c r="D18" s="49" t="n">
        <v>2400</v>
      </c>
      <c r="E18" s="49" t="n">
        <v>2499.5</v>
      </c>
      <c r="F18" s="49" t="n">
        <v>36550</v>
      </c>
      <c r="G18" s="49" t="n">
        <v>34810</v>
      </c>
      <c r="H18" s="49" t="n">
        <v>1620</v>
      </c>
      <c r="I18" s="19">
        <f>H18/52</f>
        <v/>
      </c>
      <c r="J18" s="52" t="n">
        <v>2.01019863282574</v>
      </c>
      <c r="K18" s="54" t="n"/>
    </row>
    <row r="19" ht="15.75" customHeight="1" s="74">
      <c r="A19" s="76" t="n">
        <v>200000</v>
      </c>
      <c r="B19" s="21" t="n">
        <v>416.3579999999999</v>
      </c>
      <c r="C19" s="21" t="n">
        <v>436.158</v>
      </c>
      <c r="D19" s="21" t="n">
        <v>4000</v>
      </c>
      <c r="E19" s="21" t="n">
        <v>4499.5</v>
      </c>
      <c r="F19" s="21" t="n">
        <v>70150</v>
      </c>
      <c r="G19" s="21" t="n">
        <v>67610</v>
      </c>
      <c r="H19" s="21" t="n">
        <v>2020</v>
      </c>
      <c r="I19" s="21">
        <f>H19/52</f>
        <v/>
      </c>
      <c r="J19" s="53" t="n">
        <v>1.610971321393994</v>
      </c>
      <c r="K19" s="54" t="n"/>
    </row>
    <row r="20" ht="15.75" customHeight="1" s="74">
      <c r="A20" s="134" t="n"/>
      <c r="B20" s="155" t="n"/>
      <c r="C20" s="155" t="n"/>
      <c r="D20" s="155" t="n"/>
      <c r="E20" s="155" t="n"/>
      <c r="F20" s="155" t="n"/>
      <c r="G20" s="155" t="n"/>
      <c r="H20" s="155" t="n"/>
      <c r="I20" s="155" t="n"/>
      <c r="J20" s="24" t="n"/>
      <c r="K20" s="54" t="n"/>
    </row>
    <row r="21">
      <c r="A21" s="147" t="inlineStr">
        <is>
          <t>Variations can arise due to rounding.</t>
        </is>
      </c>
      <c r="H21" s="27" t="n"/>
    </row>
    <row r="22">
      <c r="A22" s="147" t="inlineStr">
        <is>
          <t>(a) Gains per week are based on a 52 week year</t>
        </is>
      </c>
      <c r="H22" s="27" t="n"/>
    </row>
    <row r="23">
      <c r="A23" s="147" t="inlineStr">
        <is>
          <t>(b) Recte €24,960</t>
        </is>
      </c>
      <c r="D23" s="13" t="n"/>
      <c r="H23" s="27" t="n"/>
    </row>
    <row r="24">
      <c r="H24" s="27" t="n"/>
    </row>
    <row r="25">
      <c r="H25" s="27" t="n"/>
    </row>
    <row r="26">
      <c r="H26" s="27" t="n"/>
    </row>
    <row r="27">
      <c r="H27" s="27" t="n"/>
    </row>
    <row r="28">
      <c r="H28" s="27" t="n"/>
    </row>
  </sheetData>
  <mergeCells count="6">
    <mergeCell ref="F4:G4"/>
    <mergeCell ref="A1:J1"/>
    <mergeCell ref="A3:J3"/>
    <mergeCell ref="D4:E4"/>
    <mergeCell ref="A2:J2"/>
    <mergeCell ref="B4:C4"/>
  </mergeCells>
  <printOptions horizontalCentered="1" verticalCentered="1"/>
  <pageMargins left="0.7480314960629921" right="0.7480314960629921" top="0.984251968503937" bottom="0.984251968503937" header="0.5118110236220472" footer="0.5118110236220472"/>
  <pageSetup orientation="landscape" paperSize="9" scale="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2"/>
  <sheetViews>
    <sheetView view="pageBreakPreview" topLeftCell="A4" zoomScale="60" workbookViewId="0">
      <selection activeCell="L24" sqref="L24"/>
    </sheetView>
  </sheetViews>
  <sheetFormatPr baseColWidth="8" defaultRowHeight="12.75"/>
  <cols>
    <col width="16.140625" customWidth="1" style="13" min="1" max="1"/>
    <col width="13.140625" customWidth="1" style="147" min="2" max="2"/>
    <col width="13.5703125" customWidth="1" style="147" min="3" max="3"/>
    <col width="13.140625" customWidth="1" style="147" min="4" max="4"/>
    <col width="13.42578125" customWidth="1" style="147" min="5" max="5"/>
    <col width="13.140625" customWidth="1" style="147" min="6" max="6"/>
    <col width="13.42578125" customWidth="1" style="147" min="7" max="7"/>
    <col width="19.85546875" customWidth="1" style="147" min="8" max="8"/>
    <col width="15.7109375" customWidth="1" style="147" min="9" max="9"/>
    <col width="23" customWidth="1" style="147" min="10" max="10"/>
    <col width="26.28515625" customWidth="1" style="147" min="11" max="11"/>
    <col width="26" customWidth="1" style="147" min="12" max="12"/>
    <col width="36.7109375" customWidth="1" style="147" min="13" max="13"/>
    <col width="9.140625" customWidth="1" style="147" min="14" max="16384"/>
  </cols>
  <sheetData>
    <row r="1" ht="30" customHeight="1" s="74">
      <c r="A1" s="183" t="inlineStr">
        <is>
          <t>EXAMPLE 6</t>
        </is>
      </c>
    </row>
    <row r="2" ht="26.25" customHeight="1" s="74">
      <c r="A2" s="184" t="inlineStr">
        <is>
          <t xml:space="preserve">   Married couple, one income, two children (under the age of 6) taxed under PAYE </t>
        </is>
      </c>
    </row>
    <row r="3" ht="31.5" customHeight="1" s="74">
      <c r="A3" s="185" t="inlineStr">
        <is>
          <t xml:space="preserve">   Modified rate PRSI contributor</t>
        </is>
      </c>
      <c r="B3" s="195" t="n"/>
      <c r="C3" s="195" t="n"/>
      <c r="D3" s="195" t="n"/>
      <c r="E3" s="195" t="n"/>
      <c r="F3" s="195" t="n"/>
      <c r="G3" s="195" t="n"/>
      <c r="H3" s="195" t="n"/>
      <c r="I3" s="195" t="n"/>
      <c r="J3" s="195" t="n"/>
      <c r="K3" s="195" t="n"/>
      <c r="L3" s="195" t="n"/>
      <c r="M3" s="195" t="n"/>
    </row>
    <row r="4" ht="22.5" customHeight="1" s="74">
      <c r="A4" s="189" t="inlineStr">
        <is>
          <t>GROSS</t>
        </is>
      </c>
      <c r="B4" s="121" t="inlineStr">
        <is>
          <t>PRSI Liability</t>
        </is>
      </c>
      <c r="C4" s="196" t="n"/>
      <c r="D4" s="121" t="inlineStr">
        <is>
          <t>Levy Liability</t>
        </is>
      </c>
      <c r="E4" s="196" t="n"/>
      <c r="F4" s="189" t="inlineStr">
        <is>
          <t xml:space="preserve"> Tax Liability</t>
        </is>
      </c>
      <c r="G4" s="197" t="n"/>
      <c r="H4" s="189" t="inlineStr">
        <is>
          <t>Child Benefit</t>
        </is>
      </c>
      <c r="I4" s="189" t="inlineStr">
        <is>
          <t>Total</t>
        </is>
      </c>
      <c r="J4" s="119" t="inlineStr">
        <is>
          <t>Gain as % of</t>
        </is>
      </c>
      <c r="K4" s="189" t="inlineStr">
        <is>
          <t>Total Gain where</t>
        </is>
      </c>
      <c r="L4" s="189" t="inlineStr">
        <is>
          <t>Total Gain where</t>
        </is>
      </c>
      <c r="M4" s="119" t="inlineStr">
        <is>
          <t>Gain including FIS</t>
        </is>
      </c>
      <c r="N4" s="62" t="n"/>
    </row>
    <row r="5" ht="22.5" customHeight="1" s="74">
      <c r="A5" s="120" t="inlineStr">
        <is>
          <t>INCOME</t>
        </is>
      </c>
      <c r="B5" s="121" t="inlineStr">
        <is>
          <t>Existing</t>
        </is>
      </c>
      <c r="C5" s="121" t="inlineStr">
        <is>
          <t>Proposed</t>
        </is>
      </c>
      <c r="D5" s="121" t="inlineStr">
        <is>
          <t>Existing</t>
        </is>
      </c>
      <c r="E5" s="121" t="inlineStr">
        <is>
          <t>Proposed</t>
        </is>
      </c>
      <c r="F5" s="121" t="inlineStr">
        <is>
          <t>Existing</t>
        </is>
      </c>
      <c r="G5" s="121" t="inlineStr">
        <is>
          <t>Proposed</t>
        </is>
      </c>
      <c r="H5" s="120" t="inlineStr">
        <is>
          <t>Increase (a)</t>
        </is>
      </c>
      <c r="I5" s="120" t="inlineStr">
        <is>
          <t>Gain (b)</t>
        </is>
      </c>
      <c r="J5" s="122" t="inlineStr">
        <is>
          <t>Net Income (c)</t>
        </is>
      </c>
      <c r="K5" s="120" t="inlineStr">
        <is>
          <t>FIS applies (d)</t>
        </is>
      </c>
      <c r="L5" s="120" t="inlineStr">
        <is>
          <t>FIS applies (e)</t>
        </is>
      </c>
      <c r="M5" s="122" t="inlineStr">
        <is>
          <t>as % of Net Income (f)</t>
        </is>
      </c>
      <c r="N5" s="62" t="n"/>
    </row>
    <row r="6" ht="23.25" customHeight="1" s="74">
      <c r="A6" s="120" t="n"/>
      <c r="B6" s="121" t="n"/>
      <c r="C6" s="121" t="n"/>
      <c r="D6" s="121" t="n"/>
      <c r="E6" s="121" t="n"/>
      <c r="F6" s="120" t="n"/>
      <c r="G6" s="120" t="n"/>
      <c r="H6" s="120" t="n"/>
      <c r="I6" s="120" t="n"/>
      <c r="J6" s="122" t="n"/>
      <c r="K6" s="120" t="inlineStr">
        <is>
          <t>(Per Year)</t>
        </is>
      </c>
      <c r="L6" s="120" t="inlineStr">
        <is>
          <t>(Per Week)</t>
        </is>
      </c>
      <c r="M6" s="123" t="n"/>
      <c r="N6" s="62" t="n"/>
    </row>
    <row r="7" ht="22.5" customHeight="1" s="74">
      <c r="A7" s="121" t="inlineStr">
        <is>
          <t>€</t>
        </is>
      </c>
      <c r="B7" s="121" t="inlineStr">
        <is>
          <t>€</t>
        </is>
      </c>
      <c r="C7" s="121" t="inlineStr">
        <is>
          <t>€</t>
        </is>
      </c>
      <c r="D7" s="121" t="inlineStr">
        <is>
          <t>€</t>
        </is>
      </c>
      <c r="E7" s="121" t="inlineStr">
        <is>
          <t>€</t>
        </is>
      </c>
      <c r="F7" s="121" t="inlineStr">
        <is>
          <t>€</t>
        </is>
      </c>
      <c r="G7" s="121" t="inlineStr">
        <is>
          <t>€</t>
        </is>
      </c>
      <c r="H7" s="121" t="inlineStr">
        <is>
          <t>€</t>
        </is>
      </c>
      <c r="I7" s="121" t="inlineStr">
        <is>
          <t>€</t>
        </is>
      </c>
      <c r="J7" s="124" t="inlineStr">
        <is>
          <t>%</t>
        </is>
      </c>
      <c r="K7" s="121" t="inlineStr">
        <is>
          <t>€</t>
        </is>
      </c>
      <c r="L7" s="121" t="inlineStr">
        <is>
          <t>€</t>
        </is>
      </c>
      <c r="M7" s="125" t="inlineStr">
        <is>
          <t>%</t>
        </is>
      </c>
      <c r="N7" s="62" t="n"/>
    </row>
    <row r="8" ht="23.25" customHeight="1" s="74">
      <c r="A8" s="126" t="n">
        <v>17500</v>
      </c>
      <c r="B8" s="127" t="n">
        <v>145.332</v>
      </c>
      <c r="C8" s="127" t="n">
        <v>0</v>
      </c>
      <c r="D8" s="127" t="n">
        <v>0</v>
      </c>
      <c r="E8" s="127" t="n">
        <v>0</v>
      </c>
      <c r="F8" s="127" t="n">
        <v>0</v>
      </c>
      <c r="G8" s="127" t="n">
        <v>0</v>
      </c>
      <c r="H8" s="127" t="n">
        <v>180</v>
      </c>
      <c r="I8" s="127" t="n">
        <v>825.3319999999985</v>
      </c>
      <c r="J8" s="128" t="n">
        <v>3.683815958637874</v>
      </c>
      <c r="K8" s="127" t="n">
        <v>2021.331999999999</v>
      </c>
      <c r="L8" s="127" t="n">
        <v>38.8717692307692</v>
      </c>
      <c r="M8" s="128" t="n">
        <v>7.240695640262511</v>
      </c>
      <c r="N8" s="62" t="n"/>
    </row>
    <row r="9" ht="23.25" customHeight="1" s="74">
      <c r="A9" s="126" t="inlineStr">
        <is>
          <t>25,000 (g)</t>
        </is>
      </c>
      <c r="B9" s="127" t="n">
        <v>212.472</v>
      </c>
      <c r="C9" s="127" t="n">
        <v>212.472</v>
      </c>
      <c r="D9" s="127" t="n">
        <v>499.2</v>
      </c>
      <c r="E9" s="127" t="n">
        <v>0</v>
      </c>
      <c r="F9" s="127" t="n">
        <v>0</v>
      </c>
      <c r="G9" s="127" t="n">
        <v>0</v>
      </c>
      <c r="H9" s="127" t="n">
        <v>180</v>
      </c>
      <c r="I9" s="127" t="n">
        <v>1179.2</v>
      </c>
      <c r="J9" s="128" t="n">
        <v>4.024858003610361</v>
      </c>
      <c r="K9" s="127" t="n">
        <v>2115.2</v>
      </c>
      <c r="L9" s="127" t="n">
        <v>40.67692307692309</v>
      </c>
      <c r="M9" s="128" t="n">
        <v>6.889469612462126</v>
      </c>
      <c r="N9" s="62" t="n"/>
    </row>
    <row r="10" ht="23.25" customHeight="1" s="74">
      <c r="A10" s="126" t="n">
        <v>30000</v>
      </c>
      <c r="B10" s="127" t="n">
        <v>257.832</v>
      </c>
      <c r="C10" s="127" t="n">
        <v>257.832</v>
      </c>
      <c r="D10" s="127" t="n">
        <v>600</v>
      </c>
      <c r="E10" s="127" t="n">
        <v>600</v>
      </c>
      <c r="F10" s="127" t="n">
        <v>480</v>
      </c>
      <c r="G10" s="127" t="n">
        <v>0</v>
      </c>
      <c r="H10" s="127" t="n">
        <v>180</v>
      </c>
      <c r="I10" s="127" t="n">
        <v>1160</v>
      </c>
      <c r="J10" s="128" t="n">
        <v>3.440934928123616</v>
      </c>
      <c r="K10" s="127" t="n">
        <v>1160</v>
      </c>
      <c r="L10" s="127" t="n">
        <v>22.30769230769231</v>
      </c>
      <c r="M10" s="128" t="n">
        <v>3.440934928123616</v>
      </c>
      <c r="N10" s="62" t="n"/>
    </row>
    <row r="11" ht="23.25" customHeight="1" s="74">
      <c r="A11" s="126" t="n">
        <v>35000</v>
      </c>
      <c r="B11" s="127" t="n">
        <v>302.832</v>
      </c>
      <c r="C11" s="127" t="n">
        <v>302.832</v>
      </c>
      <c r="D11" s="127" t="n">
        <v>700</v>
      </c>
      <c r="E11" s="127" t="n">
        <v>700</v>
      </c>
      <c r="F11" s="127" t="n">
        <v>1480</v>
      </c>
      <c r="G11" s="127" t="n">
        <v>950</v>
      </c>
      <c r="H11" s="127" t="n">
        <v>180</v>
      </c>
      <c r="I11" s="127" t="n">
        <v>1210</v>
      </c>
      <c r="J11" s="128" t="n">
        <v>3.220931861905182</v>
      </c>
      <c r="K11" s="127" t="n">
        <v>1210</v>
      </c>
      <c r="L11" s="127" t="n">
        <v>23.26923076923077</v>
      </c>
      <c r="M11" s="128" t="n">
        <v>3.220931861905182</v>
      </c>
      <c r="N11" s="62" t="n"/>
    </row>
    <row r="12" ht="23.25" customHeight="1" s="74">
      <c r="A12" s="126" t="n">
        <v>40000</v>
      </c>
      <c r="B12" s="127" t="n">
        <v>347.832</v>
      </c>
      <c r="C12" s="127" t="n">
        <v>347.832</v>
      </c>
      <c r="D12" s="127" t="n">
        <v>800</v>
      </c>
      <c r="E12" s="127" t="n">
        <v>800</v>
      </c>
      <c r="F12" s="127" t="n">
        <v>2480</v>
      </c>
      <c r="G12" s="127" t="n">
        <v>1950</v>
      </c>
      <c r="H12" s="127" t="n">
        <v>180</v>
      </c>
      <c r="I12" s="127" t="n">
        <v>1210</v>
      </c>
      <c r="J12" s="128" t="n">
        <v>2.921169371621221</v>
      </c>
      <c r="K12" s="127" t="n">
        <v>1210</v>
      </c>
      <c r="L12" s="127" t="n">
        <v>23.26923076923077</v>
      </c>
      <c r="M12" s="128" t="n">
        <v>2.921169371621221</v>
      </c>
      <c r="N12" s="62" t="n"/>
    </row>
    <row r="13" ht="23.25" customHeight="1" s="74">
      <c r="A13" s="126" t="n">
        <v>45000</v>
      </c>
      <c r="B13" s="127" t="n">
        <v>392.8319999999999</v>
      </c>
      <c r="C13" s="127" t="n">
        <v>392.8319999999999</v>
      </c>
      <c r="D13" s="127" t="n">
        <v>900</v>
      </c>
      <c r="E13" s="127" t="n">
        <v>900</v>
      </c>
      <c r="F13" s="127" t="n">
        <v>4360</v>
      </c>
      <c r="G13" s="127" t="n">
        <v>3370</v>
      </c>
      <c r="H13" s="127" t="n">
        <v>180</v>
      </c>
      <c r="I13" s="127" t="n">
        <v>1670</v>
      </c>
      <c r="J13" s="128" t="n">
        <v>3.761535073904479</v>
      </c>
      <c r="K13" s="127" t="n">
        <v>1670</v>
      </c>
      <c r="L13" s="127" t="n">
        <v>32.11538461538461</v>
      </c>
      <c r="M13" s="128" t="n">
        <v>3.761535073904479</v>
      </c>
      <c r="N13" s="62" t="n"/>
    </row>
    <row r="14" ht="23.25" customHeight="1" s="74">
      <c r="A14" s="126" t="n">
        <v>50000</v>
      </c>
      <c r="B14" s="127" t="n">
        <v>407.934</v>
      </c>
      <c r="C14" s="127" t="n">
        <v>427.266</v>
      </c>
      <c r="D14" s="127" t="n">
        <v>1000</v>
      </c>
      <c r="E14" s="127" t="n">
        <v>1000</v>
      </c>
      <c r="F14" s="127" t="n">
        <v>6460</v>
      </c>
      <c r="G14" s="127" t="n">
        <v>5420</v>
      </c>
      <c r="H14" s="127" t="n">
        <v>180</v>
      </c>
      <c r="I14" s="127" t="n">
        <v>1700.667999999998</v>
      </c>
      <c r="J14" s="128" t="n">
        <v>3.604510277360697</v>
      </c>
      <c r="K14" s="127" t="n">
        <v>1700.667999999998</v>
      </c>
      <c r="L14" s="127" t="n">
        <v>32.70515384615381</v>
      </c>
      <c r="M14" s="128" t="n">
        <v>3.604510277360697</v>
      </c>
      <c r="N14" s="62" t="n"/>
    </row>
    <row r="15" ht="23.25" customHeight="1" s="74">
      <c r="A15" s="126" t="n">
        <v>60000</v>
      </c>
      <c r="B15" s="127" t="n">
        <v>409.8059999999999</v>
      </c>
      <c r="C15" s="127" t="n">
        <v>429.138</v>
      </c>
      <c r="D15" s="127" t="n">
        <v>1200</v>
      </c>
      <c r="E15" s="127" t="n">
        <v>1200</v>
      </c>
      <c r="F15" s="127" t="n">
        <v>10660</v>
      </c>
      <c r="G15" s="127" t="n">
        <v>9520</v>
      </c>
      <c r="H15" s="127" t="n">
        <v>180</v>
      </c>
      <c r="I15" s="127" t="n">
        <v>1800.667999999998</v>
      </c>
      <c r="J15" s="128" t="n">
        <v>3.411661667341858</v>
      </c>
      <c r="K15" s="127" t="n">
        <v>1800.667999999998</v>
      </c>
      <c r="L15" s="127" t="n">
        <v>34.62823076923073</v>
      </c>
      <c r="M15" s="128" t="n">
        <v>3.411661667341858</v>
      </c>
      <c r="N15" s="62" t="n"/>
    </row>
    <row r="16" ht="23.25" customHeight="1" s="74">
      <c r="A16" s="126" t="n">
        <v>80000</v>
      </c>
      <c r="B16" s="127" t="n">
        <v>412.146</v>
      </c>
      <c r="C16" s="127" t="n">
        <v>431.712</v>
      </c>
      <c r="D16" s="127" t="n">
        <v>1600</v>
      </c>
      <c r="E16" s="127" t="n">
        <v>1600</v>
      </c>
      <c r="F16" s="127" t="n">
        <v>19060</v>
      </c>
      <c r="G16" s="127" t="n">
        <v>17720</v>
      </c>
      <c r="H16" s="127" t="n">
        <v>180</v>
      </c>
      <c r="I16" s="127" t="n">
        <v>2000.433999999994</v>
      </c>
      <c r="J16" s="128" t="n">
        <v>3.126779630836816</v>
      </c>
      <c r="K16" s="127" t="n">
        <v>2000.433999999994</v>
      </c>
      <c r="L16" s="127" t="n">
        <v>38.46988461538449</v>
      </c>
      <c r="M16" s="128" t="n">
        <v>3.126779630836816</v>
      </c>
      <c r="N16" s="62" t="n"/>
    </row>
    <row r="17" ht="23.25" customHeight="1" s="74">
      <c r="A17" s="126" t="n">
        <v>100000</v>
      </c>
      <c r="B17" s="127" t="n">
        <v>413.55</v>
      </c>
      <c r="C17" s="127" t="n">
        <v>433.1159999999999</v>
      </c>
      <c r="D17" s="127" t="n">
        <v>2000</v>
      </c>
      <c r="E17" s="127" t="n">
        <v>2000</v>
      </c>
      <c r="F17" s="127" t="n">
        <v>27460</v>
      </c>
      <c r="G17" s="127" t="n">
        <v>25920</v>
      </c>
      <c r="H17" s="127" t="n">
        <v>180</v>
      </c>
      <c r="I17" s="127" t="n">
        <v>2200.434000000008</v>
      </c>
      <c r="J17" s="128" t="n">
        <v>2.927041258485925</v>
      </c>
      <c r="K17" s="127" t="n">
        <v>2200.434000000008</v>
      </c>
      <c r="L17" s="127" t="n">
        <v>42.31603846153862</v>
      </c>
      <c r="M17" s="128" t="n">
        <v>2.927041258485925</v>
      </c>
      <c r="N17" s="62" t="n"/>
    </row>
    <row r="18" ht="23.25" customHeight="1" s="74">
      <c r="A18" s="129" t="n">
        <v>120000</v>
      </c>
      <c r="B18" s="130" t="n">
        <v>414.4859999999999</v>
      </c>
      <c r="C18" s="130" t="n">
        <v>434.052</v>
      </c>
      <c r="D18" s="130" t="n">
        <v>2400</v>
      </c>
      <c r="E18" s="130" t="n">
        <v>2499.5</v>
      </c>
      <c r="F18" s="130" t="n">
        <v>35860</v>
      </c>
      <c r="G18" s="130" t="n">
        <v>34120</v>
      </c>
      <c r="H18" s="130" t="n">
        <v>180</v>
      </c>
      <c r="I18" s="130" t="n">
        <v>2300.934000000008</v>
      </c>
      <c r="J18" s="131" t="n">
        <v>2.663885340863351</v>
      </c>
      <c r="K18" s="130" t="n">
        <v>2300.934000000008</v>
      </c>
      <c r="L18" s="130" t="n">
        <v>44.24873076923093</v>
      </c>
      <c r="M18" s="128" t="n">
        <v>2.663885340863351</v>
      </c>
      <c r="N18" s="62" t="n"/>
    </row>
    <row r="19" ht="23.25" customHeight="1" s="74">
      <c r="A19" s="132" t="n">
        <v>200000</v>
      </c>
      <c r="B19" s="133" t="n">
        <v>416.3579999999999</v>
      </c>
      <c r="C19" s="133" t="n">
        <v>436.158</v>
      </c>
      <c r="D19" s="133" t="n">
        <v>4000</v>
      </c>
      <c r="E19" s="133" t="n">
        <v>4499.5</v>
      </c>
      <c r="F19" s="133" t="n">
        <v>69460</v>
      </c>
      <c r="G19" s="133" t="n">
        <v>66920</v>
      </c>
      <c r="H19" s="133" t="n">
        <v>180</v>
      </c>
      <c r="I19" s="133" t="n">
        <v>2700.700000000012</v>
      </c>
      <c r="J19" s="123" t="n">
        <v>2.058880270718636</v>
      </c>
      <c r="K19" s="133" t="n">
        <v>2700.700000000012</v>
      </c>
      <c r="L19" s="133" t="n">
        <v>51.93653846153869</v>
      </c>
      <c r="M19" s="123" t="n">
        <v>2.058880270718636</v>
      </c>
      <c r="N19" s="29" t="n"/>
    </row>
    <row r="20" ht="23.25" customHeight="1" s="74">
      <c r="A20" s="148" t="n"/>
      <c r="B20" s="149" t="n"/>
      <c r="C20" s="149" t="n"/>
      <c r="D20" s="149" t="n"/>
      <c r="E20" s="149" t="n"/>
      <c r="F20" s="149" t="n"/>
      <c r="G20" s="149" t="n"/>
      <c r="H20" s="149" t="n"/>
      <c r="I20" s="149" t="n"/>
      <c r="J20" s="150" t="n"/>
      <c r="K20" s="149" t="n"/>
      <c r="L20" s="149" t="n"/>
      <c r="M20" s="150" t="n"/>
      <c r="N20" s="29" t="n"/>
    </row>
    <row r="21" ht="19.5" customHeight="1" s="74">
      <c r="A21" s="151" t="inlineStr">
        <is>
          <t>Variations can arise due to rounding</t>
        </is>
      </c>
      <c r="B21" s="68" t="n"/>
      <c r="C21" s="68" t="n"/>
      <c r="D21" s="68" t="n"/>
      <c r="E21" s="68" t="n"/>
      <c r="F21" s="68" t="n"/>
      <c r="G21" s="68" t="n"/>
      <c r="H21" s="69" t="n"/>
      <c r="I21" s="68" t="n"/>
      <c r="J21" s="68" t="n"/>
      <c r="K21" s="69" t="n"/>
      <c r="L21" s="24" t="n"/>
      <c r="M21" s="29" t="n"/>
      <c r="N21" s="29" t="n"/>
    </row>
    <row r="22" ht="19.5" customHeight="1" s="74">
      <c r="A22" s="152" t="inlineStr">
        <is>
          <t>(a)  Value during 2007 of the increase in Child Benefit (CB) made in the Budget, which is effective from April, 2007 (i.e. assuming 9 months of CB increase).</t>
        </is>
      </c>
      <c r="B22" s="70" t="n"/>
      <c r="C22" s="70" t="n"/>
      <c r="D22" s="70" t="n"/>
      <c r="E22" s="70" t="n"/>
      <c r="F22" s="70" t="n"/>
      <c r="G22" s="71" t="n"/>
      <c r="H22" s="72" t="n"/>
      <c r="I22" s="70" t="n"/>
      <c r="J22" s="70" t="n"/>
      <c r="K22" s="72" t="n"/>
      <c r="L22" s="61" t="n"/>
      <c r="M22" s="29" t="n"/>
      <c r="N22" s="29" t="n"/>
    </row>
    <row r="23" ht="19.5" customHeight="1" s="74">
      <c r="A23" s="152" t="inlineStr">
        <is>
          <t>(b) Includes payment of an additional quarter of ECS (€250 per child) in 2007 as compared with 2006</t>
        </is>
      </c>
      <c r="B23" s="70" t="n"/>
      <c r="C23" s="70" t="n"/>
      <c r="D23" s="70" t="n"/>
      <c r="E23" s="70" t="n"/>
      <c r="F23" s="70" t="n"/>
      <c r="G23" s="71" t="n"/>
      <c r="H23" s="72" t="n"/>
      <c r="I23" s="70" t="n"/>
      <c r="J23" s="70" t="n"/>
      <c r="K23" s="72" t="n"/>
      <c r="L23" s="61" t="n"/>
      <c r="M23" s="29" t="n"/>
      <c r="N23" s="29" t="n"/>
    </row>
    <row r="24" ht="19.5" customHeight="1" s="74">
      <c r="A24" s="152" t="inlineStr">
        <is>
          <t>(c) Net income includes CB and ECS less deductions of tax, levy and PRSI (where appropriate) and so may be higher than the gross income.</t>
        </is>
      </c>
      <c r="B24" s="70" t="n"/>
      <c r="C24" s="70" t="n"/>
      <c r="D24" s="70" t="n"/>
      <c r="E24" s="70" t="n"/>
      <c r="F24" s="70" t="n"/>
      <c r="G24" s="71" t="n"/>
      <c r="H24" s="72" t="n"/>
      <c r="I24" s="70" t="n"/>
      <c r="J24" s="70" t="n"/>
      <c r="K24" s="72" t="n"/>
      <c r="L24" s="61" t="n"/>
      <c r="M24" s="29" t="n"/>
      <c r="N24" s="29" t="n"/>
    </row>
    <row r="25" ht="19.5" customHeight="1" s="74">
      <c r="A25" s="152" t="inlineStr">
        <is>
          <t>(d) The last three columns show the total gain where Family Income Supplement (FIS) is taken up in both years.  The gain includes the value during 2007  of the</t>
        </is>
      </c>
      <c r="B25" s="70" t="n"/>
      <c r="C25" s="70" t="n"/>
      <c r="D25" s="70" t="n"/>
      <c r="E25" s="70" t="n"/>
      <c r="F25" s="70" t="n"/>
      <c r="G25" s="71" t="n"/>
      <c r="H25" s="72" t="n"/>
      <c r="I25" s="70" t="n"/>
      <c r="J25" s="70" t="n"/>
      <c r="K25" s="72" t="n"/>
      <c r="L25" s="61" t="n"/>
      <c r="M25" s="29" t="n"/>
      <c r="N25" s="29" t="n"/>
    </row>
    <row r="26" ht="19.5" customHeight="1" s="74">
      <c r="A26" s="152" t="inlineStr">
        <is>
          <t xml:space="preserve">      improvement in FIS made in this Budget which takes effect from January, 2007.</t>
        </is>
      </c>
      <c r="B26" s="70" t="n"/>
      <c r="C26" s="70" t="n"/>
      <c r="D26" s="70" t="n"/>
      <c r="E26" s="70" t="n"/>
      <c r="F26" s="70" t="n"/>
      <c r="G26" s="71" t="n"/>
      <c r="H26" s="72" t="n"/>
      <c r="I26" s="70" t="n"/>
      <c r="J26" s="70" t="n"/>
      <c r="K26" s="72" t="n"/>
      <c r="L26" s="61" t="n"/>
      <c r="M26" s="29" t="n"/>
      <c r="N26" s="29" t="n"/>
    </row>
    <row r="27" ht="19.5" customHeight="1" s="74">
      <c r="A27" s="152" t="inlineStr">
        <is>
          <t>(e) Gains per week are based on a 52 week year</t>
        </is>
      </c>
      <c r="B27" s="70" t="n"/>
      <c r="C27" s="70" t="n"/>
      <c r="D27" s="70" t="n"/>
      <c r="E27" s="70" t="n"/>
      <c r="F27" s="70" t="n"/>
      <c r="G27" s="71" t="n"/>
      <c r="H27" s="72" t="n"/>
      <c r="I27" s="70" t="n"/>
      <c r="J27" s="70" t="n"/>
      <c r="K27" s="72" t="n"/>
      <c r="L27" s="61" t="n"/>
      <c r="M27" s="29" t="n"/>
      <c r="N27" s="29" t="n"/>
    </row>
    <row r="28" ht="19.5" customHeight="1" s="74">
      <c r="A28" s="152" t="inlineStr">
        <is>
          <t>(f) Net income includes CB, ECS and FIS (where relevant) less deductions of tax, levy and PRSI (where appropriate) and so may be higher than the gross income.</t>
        </is>
      </c>
      <c r="B28" s="70" t="n"/>
      <c r="C28" s="70" t="n"/>
      <c r="D28" s="70" t="n"/>
      <c r="E28" s="70" t="n"/>
      <c r="F28" s="70" t="n"/>
      <c r="G28" s="71" t="n"/>
      <c r="H28" s="72" t="n"/>
      <c r="I28" s="70" t="n"/>
      <c r="J28" s="70" t="n"/>
      <c r="K28" s="72" t="n"/>
      <c r="L28" s="72" t="n"/>
      <c r="M28" s="29" t="n"/>
      <c r="N28" s="29" t="n"/>
    </row>
    <row r="29" ht="19.5" customHeight="1" s="74">
      <c r="A29" s="152" t="inlineStr">
        <is>
          <t>(g) Recte €24,960</t>
        </is>
      </c>
      <c r="B29" s="70" t="n"/>
      <c r="C29" s="70" t="n"/>
      <c r="D29" s="70" t="n"/>
      <c r="E29" s="70" t="n"/>
      <c r="F29" s="70" t="n"/>
      <c r="G29" s="71" t="n"/>
      <c r="H29" s="72" t="n"/>
      <c r="I29" s="70" t="n"/>
      <c r="J29" s="70" t="n"/>
      <c r="K29" s="72" t="n"/>
      <c r="L29" s="72" t="n"/>
      <c r="M29" s="29" t="n"/>
      <c r="N29" s="29" t="n"/>
    </row>
    <row r="30">
      <c r="A30" s="147" t="n"/>
      <c r="L30" s="27" t="n"/>
    </row>
    <row r="31">
      <c r="I31" s="27" t="n"/>
      <c r="L31" s="27" t="n"/>
    </row>
    <row r="32">
      <c r="F32" s="15" t="n"/>
      <c r="G32" s="15" t="n"/>
    </row>
  </sheetData>
  <mergeCells count="6">
    <mergeCell ref="F4:G4"/>
    <mergeCell ref="A1:M1"/>
    <mergeCell ref="A3:M3"/>
    <mergeCell ref="D4:E4"/>
    <mergeCell ref="A2:M2"/>
    <mergeCell ref="B4:C4"/>
  </mergeCells>
  <printOptions horizontalCentered="1" verticalCentered="1"/>
  <pageMargins left="0.7480314960629921" right="0.7480314960629921" top="0.984251968503937" bottom="0.984251968503937" header="0.5118110236220472" footer="0.5118110236220472"/>
  <pageSetup orientation="landscape" paperSize="9" scale="54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9"/>
  <sheetViews>
    <sheetView view="pageBreakPreview" zoomScale="60" workbookViewId="0">
      <selection activeCell="A21" sqref="A21:A29"/>
    </sheetView>
  </sheetViews>
  <sheetFormatPr baseColWidth="8" defaultRowHeight="12.75"/>
  <cols>
    <col width="14.5703125" customWidth="1" style="13" min="1" max="1"/>
    <col width="12.42578125" customWidth="1" style="147" min="2" max="2"/>
    <col width="13.42578125" customWidth="1" style="147" min="3" max="3"/>
    <col width="13.5703125" customWidth="1" style="147" min="4" max="4"/>
    <col width="13.42578125" customWidth="1" style="147" min="5" max="5"/>
    <col width="13.7109375" customWidth="1" style="147" min="6" max="7"/>
    <col width="20.7109375" customWidth="1" style="147" min="8" max="8"/>
    <col width="15.7109375" customWidth="1" style="147" min="9" max="9"/>
    <col width="22.5703125" customWidth="1" style="147" min="10" max="10"/>
    <col width="26.140625" customWidth="1" style="147" min="11" max="11"/>
    <col width="27.42578125" customWidth="1" style="147" min="12" max="12"/>
    <col width="35.140625" customWidth="1" style="147" min="13" max="13"/>
    <col width="9.140625" customWidth="1" style="147" min="14" max="16384"/>
  </cols>
  <sheetData>
    <row r="1" ht="27" customHeight="1" s="74">
      <c r="A1" s="188" t="inlineStr">
        <is>
          <t>EXAMPLE 7</t>
        </is>
      </c>
    </row>
    <row r="2" ht="27.75" customHeight="1" s="74">
      <c r="A2" s="190" t="inlineStr">
        <is>
          <t xml:space="preserve">   Married couple, two incomes, two children (under the age of 6)</t>
        </is>
      </c>
    </row>
    <row r="3" ht="27.75" customHeight="1" s="74">
      <c r="A3" s="191" t="inlineStr">
        <is>
          <t xml:space="preserve">   Modified rate PRSI contributors</t>
        </is>
      </c>
      <c r="B3" s="195" t="n"/>
      <c r="C3" s="195" t="n"/>
      <c r="D3" s="195" t="n"/>
      <c r="E3" s="195" t="n"/>
      <c r="F3" s="195" t="n"/>
      <c r="G3" s="195" t="n"/>
      <c r="H3" s="195" t="n"/>
      <c r="I3" s="195" t="n"/>
      <c r="J3" s="195" t="n"/>
      <c r="K3" s="195" t="n"/>
      <c r="L3" s="195" t="n"/>
      <c r="M3" s="195" t="n"/>
    </row>
    <row r="4" ht="22.5" customHeight="1" s="74">
      <c r="A4" s="189" t="inlineStr">
        <is>
          <t>GROSS</t>
        </is>
      </c>
      <c r="B4" s="189" t="inlineStr">
        <is>
          <t>PRSI Liability</t>
        </is>
      </c>
      <c r="C4" s="197" t="n"/>
      <c r="D4" s="189" t="inlineStr">
        <is>
          <t>Levy Liability</t>
        </is>
      </c>
      <c r="E4" s="197" t="n"/>
      <c r="F4" s="189" t="inlineStr">
        <is>
          <t>Tax Liability</t>
        </is>
      </c>
      <c r="G4" s="197" t="n"/>
      <c r="H4" s="189" t="inlineStr">
        <is>
          <t>Child Benefit</t>
        </is>
      </c>
      <c r="I4" s="189" t="inlineStr">
        <is>
          <t>Total</t>
        </is>
      </c>
      <c r="J4" s="119" t="inlineStr">
        <is>
          <t>Gain as % of</t>
        </is>
      </c>
      <c r="K4" s="189" t="inlineStr">
        <is>
          <t>Total Gain where</t>
        </is>
      </c>
      <c r="L4" s="189" t="inlineStr">
        <is>
          <t>Total Gain where</t>
        </is>
      </c>
      <c r="M4" s="119" t="inlineStr">
        <is>
          <t>Gain including FIS</t>
        </is>
      </c>
    </row>
    <row r="5" ht="22.5" customHeight="1" s="74">
      <c r="A5" s="120" t="inlineStr">
        <is>
          <t>INCOME</t>
        </is>
      </c>
      <c r="B5" s="121" t="inlineStr">
        <is>
          <t>Existing</t>
        </is>
      </c>
      <c r="C5" s="121" t="inlineStr">
        <is>
          <t>Proposed</t>
        </is>
      </c>
      <c r="D5" s="121" t="inlineStr">
        <is>
          <t>Existing</t>
        </is>
      </c>
      <c r="E5" s="121" t="inlineStr">
        <is>
          <t>Proposed</t>
        </is>
      </c>
      <c r="F5" s="121" t="inlineStr">
        <is>
          <t>Existing</t>
        </is>
      </c>
      <c r="G5" s="121" t="inlineStr">
        <is>
          <t>Proposed</t>
        </is>
      </c>
      <c r="H5" s="120" t="inlineStr">
        <is>
          <t>Increase (a)</t>
        </is>
      </c>
      <c r="I5" s="120" t="inlineStr">
        <is>
          <t>Gain (b)</t>
        </is>
      </c>
      <c r="J5" s="122" t="inlineStr">
        <is>
          <t>Net Income (c)</t>
        </is>
      </c>
      <c r="K5" s="120" t="inlineStr">
        <is>
          <t>FIS applies (d)</t>
        </is>
      </c>
      <c r="L5" s="120" t="inlineStr">
        <is>
          <t>FIS applies (e)</t>
        </is>
      </c>
      <c r="M5" s="122" t="inlineStr">
        <is>
          <t>as % of Net Income (f)</t>
        </is>
      </c>
    </row>
    <row r="6" ht="22.5" customHeight="1" s="74">
      <c r="A6" s="120" t="n"/>
      <c r="B6" s="121" t="n"/>
      <c r="C6" s="121" t="n"/>
      <c r="D6" s="121" t="n"/>
      <c r="E6" s="121" t="n"/>
      <c r="F6" s="120" t="n"/>
      <c r="G6" s="120" t="n"/>
      <c r="H6" s="120" t="n"/>
      <c r="I6" s="120" t="n"/>
      <c r="J6" s="122" t="n"/>
      <c r="K6" s="120" t="inlineStr">
        <is>
          <t>(Per Year)</t>
        </is>
      </c>
      <c r="L6" s="120" t="inlineStr">
        <is>
          <t>(Per Week)</t>
        </is>
      </c>
      <c r="M6" s="122" t="n"/>
    </row>
    <row r="7" ht="22.5" customHeight="1" s="74">
      <c r="A7" s="121" t="inlineStr">
        <is>
          <t>€</t>
        </is>
      </c>
      <c r="B7" s="121" t="inlineStr">
        <is>
          <t>€</t>
        </is>
      </c>
      <c r="C7" s="121" t="inlineStr">
        <is>
          <t>€</t>
        </is>
      </c>
      <c r="D7" s="121" t="inlineStr">
        <is>
          <t>€</t>
        </is>
      </c>
      <c r="E7" s="121" t="inlineStr">
        <is>
          <t>€</t>
        </is>
      </c>
      <c r="F7" s="121" t="inlineStr">
        <is>
          <t>€</t>
        </is>
      </c>
      <c r="G7" s="121" t="inlineStr">
        <is>
          <t>€</t>
        </is>
      </c>
      <c r="H7" s="121" t="inlineStr">
        <is>
          <t>€</t>
        </is>
      </c>
      <c r="I7" s="121" t="inlineStr">
        <is>
          <t>€</t>
        </is>
      </c>
      <c r="J7" s="124" t="inlineStr">
        <is>
          <t>%</t>
        </is>
      </c>
      <c r="K7" s="121" t="inlineStr">
        <is>
          <t>€</t>
        </is>
      </c>
      <c r="L7" s="121" t="n"/>
      <c r="M7" s="124" t="inlineStr">
        <is>
          <t>%</t>
        </is>
      </c>
    </row>
    <row r="8" ht="23.25" customHeight="1" s="74">
      <c r="A8" s="127" t="n">
        <v>20000</v>
      </c>
      <c r="B8" s="127" t="n">
        <v>0</v>
      </c>
      <c r="C8" s="127" t="n">
        <v>0</v>
      </c>
      <c r="D8" s="127" t="n">
        <v>0</v>
      </c>
      <c r="E8" s="127" t="n">
        <v>0</v>
      </c>
      <c r="F8" s="127" t="n">
        <v>0</v>
      </c>
      <c r="G8" s="127" t="n">
        <v>0</v>
      </c>
      <c r="H8" s="127" t="n">
        <v>180</v>
      </c>
      <c r="I8" s="127" t="n">
        <v>680</v>
      </c>
      <c r="J8" s="128" t="n">
        <v>2.714614205416454</v>
      </c>
      <c r="K8" s="127" t="n">
        <v>1928</v>
      </c>
      <c r="L8" s="127" t="n">
        <v>37.07692307692308</v>
      </c>
      <c r="M8" s="128" t="n">
        <v>6.647909080878296</v>
      </c>
    </row>
    <row r="9" ht="23.25" customHeight="1" s="74">
      <c r="A9" s="127" t="n">
        <v>30000</v>
      </c>
      <c r="B9" s="127" t="n">
        <v>163.332</v>
      </c>
      <c r="C9" s="127" t="n">
        <v>163.332</v>
      </c>
      <c r="D9" s="127" t="n">
        <v>0</v>
      </c>
      <c r="E9" s="127" t="n">
        <v>0</v>
      </c>
      <c r="F9" s="127" t="n">
        <v>0</v>
      </c>
      <c r="G9" s="127" t="n">
        <v>0</v>
      </c>
      <c r="H9" s="127" t="n">
        <v>180</v>
      </c>
      <c r="I9" s="127" t="n">
        <v>680</v>
      </c>
      <c r="J9" s="128" t="n">
        <v>1.949191011202459</v>
      </c>
      <c r="K9" s="127" t="n">
        <v>680</v>
      </c>
      <c r="L9" s="127" t="n">
        <v>13.07692307692308</v>
      </c>
      <c r="M9" s="128" t="n">
        <v>1.949191011202459</v>
      </c>
    </row>
    <row r="10" ht="23.25" customHeight="1" s="74">
      <c r="A10" s="127" t="n">
        <v>35000</v>
      </c>
      <c r="B10" s="127" t="n">
        <v>192.582</v>
      </c>
      <c r="C10" s="127" t="n">
        <v>192.582</v>
      </c>
      <c r="D10" s="127" t="n">
        <v>0</v>
      </c>
      <c r="E10" s="127" t="n">
        <v>0</v>
      </c>
      <c r="F10" s="127" t="n">
        <v>760</v>
      </c>
      <c r="G10" s="127" t="n">
        <v>0</v>
      </c>
      <c r="H10" s="127" t="n">
        <v>180</v>
      </c>
      <c r="I10" s="127" t="n">
        <v>1440</v>
      </c>
      <c r="J10" s="128" t="n">
        <v>3.683145348834533</v>
      </c>
      <c r="K10" s="127" t="n">
        <v>1440</v>
      </c>
      <c r="L10" s="127" t="n">
        <v>27.69230769230769</v>
      </c>
      <c r="M10" s="128" t="n">
        <v>3.683145348834533</v>
      </c>
    </row>
    <row r="11" ht="23.25" customHeight="1" s="74">
      <c r="A11" s="127" t="n">
        <v>40000</v>
      </c>
      <c r="B11" s="127" t="n">
        <v>221.832</v>
      </c>
      <c r="C11" s="127" t="n">
        <v>221.832</v>
      </c>
      <c r="D11" s="127" t="n">
        <v>520</v>
      </c>
      <c r="E11" s="127" t="n">
        <v>520</v>
      </c>
      <c r="F11" s="127" t="n">
        <v>1760</v>
      </c>
      <c r="G11" s="127" t="n">
        <v>960</v>
      </c>
      <c r="H11" s="127" t="n">
        <v>180</v>
      </c>
      <c r="I11" s="127" t="n">
        <v>1480</v>
      </c>
      <c r="J11" s="128" t="n">
        <v>3.478443334559877</v>
      </c>
      <c r="K11" s="127" t="n">
        <v>1480</v>
      </c>
      <c r="L11" s="127" t="n">
        <v>28.46153846153846</v>
      </c>
      <c r="M11" s="128" t="n">
        <v>3.478443334559877</v>
      </c>
    </row>
    <row r="12" ht="23.25" customHeight="1" s="74">
      <c r="A12" s="127" t="n">
        <v>45000</v>
      </c>
      <c r="B12" s="127" t="n">
        <v>380.664</v>
      </c>
      <c r="C12" s="127" t="n">
        <v>251.082</v>
      </c>
      <c r="D12" s="127" t="n">
        <v>585</v>
      </c>
      <c r="E12" s="127" t="n">
        <v>585</v>
      </c>
      <c r="F12" s="127" t="n">
        <v>2760</v>
      </c>
      <c r="G12" s="127" t="n">
        <v>1960</v>
      </c>
      <c r="H12" s="127" t="n">
        <v>180</v>
      </c>
      <c r="I12" s="127" t="n">
        <v>1609.581999999995</v>
      </c>
      <c r="J12" s="128" t="n">
        <v>3.474622709089302</v>
      </c>
      <c r="K12" s="127" t="n">
        <v>1609.581999999995</v>
      </c>
      <c r="L12" s="127" t="n">
        <v>30.9534999999999</v>
      </c>
      <c r="M12" s="128" t="n">
        <v>3.474622709089302</v>
      </c>
    </row>
    <row r="13" ht="23.25" customHeight="1" s="74">
      <c r="A13" s="127" t="n">
        <v>50000</v>
      </c>
      <c r="B13" s="127" t="n">
        <v>425.664</v>
      </c>
      <c r="C13" s="127" t="n">
        <v>280.332</v>
      </c>
      <c r="D13" s="127" t="n">
        <v>650</v>
      </c>
      <c r="E13" s="127" t="n">
        <v>650</v>
      </c>
      <c r="F13" s="127" t="n">
        <v>3760</v>
      </c>
      <c r="G13" s="127" t="n">
        <v>2960</v>
      </c>
      <c r="H13" s="127" t="n">
        <v>180</v>
      </c>
      <c r="I13" s="127" t="n">
        <v>1625.331999999995</v>
      </c>
      <c r="J13" s="128" t="n">
        <v>3.236814576734225</v>
      </c>
      <c r="K13" s="127" t="n">
        <v>1625.331999999995</v>
      </c>
      <c r="L13" s="127" t="n">
        <v>31.25638461538452</v>
      </c>
      <c r="M13" s="128" t="n">
        <v>3.236814576734225</v>
      </c>
    </row>
    <row r="14" ht="23.25" customHeight="1" s="74">
      <c r="A14" s="127" t="n">
        <v>60000</v>
      </c>
      <c r="B14" s="127" t="n">
        <v>515.664</v>
      </c>
      <c r="C14" s="127" t="n">
        <v>515.664</v>
      </c>
      <c r="D14" s="127" t="n">
        <v>780</v>
      </c>
      <c r="E14" s="127" t="n">
        <v>780</v>
      </c>
      <c r="F14" s="127" t="n">
        <v>5760</v>
      </c>
      <c r="G14" s="127" t="n">
        <v>4960</v>
      </c>
      <c r="H14" s="127" t="n">
        <v>180</v>
      </c>
      <c r="I14" s="127" t="n">
        <v>1480</v>
      </c>
      <c r="J14" s="128" t="n">
        <v>2.551990952985153</v>
      </c>
      <c r="K14" s="127" t="n">
        <v>1480</v>
      </c>
      <c r="L14" s="127" t="n">
        <v>28.46153846153846</v>
      </c>
      <c r="M14" s="128" t="n">
        <v>2.551990952985153</v>
      </c>
    </row>
    <row r="15" ht="23.25" customHeight="1" s="74">
      <c r="A15" s="127" t="n">
        <v>70000</v>
      </c>
      <c r="B15" s="127" t="n">
        <v>605.6639999999999</v>
      </c>
      <c r="C15" s="127" t="n">
        <v>605.6639999999999</v>
      </c>
      <c r="D15" s="127" t="n">
        <v>1400</v>
      </c>
      <c r="E15" s="127" t="n">
        <v>910</v>
      </c>
      <c r="F15" s="127" t="n">
        <v>9080</v>
      </c>
      <c r="G15" s="127" t="n">
        <v>7485</v>
      </c>
      <c r="H15" s="127" t="n">
        <v>180</v>
      </c>
      <c r="I15" s="127" t="n">
        <v>2765</v>
      </c>
      <c r="J15" s="128" t="n">
        <v>4.322748368705766</v>
      </c>
      <c r="K15" s="127" t="n">
        <v>2765</v>
      </c>
      <c r="L15" s="127" t="n">
        <v>53.17307692307692</v>
      </c>
      <c r="M15" s="128" t="n">
        <v>4.322748368705766</v>
      </c>
    </row>
    <row r="16" ht="23.25" customHeight="1" s="74">
      <c r="A16" s="127" t="n">
        <v>80000</v>
      </c>
      <c r="B16" s="127" t="n">
        <v>648.2339999999999</v>
      </c>
      <c r="C16" s="127" t="n">
        <v>667.566</v>
      </c>
      <c r="D16" s="127" t="n">
        <v>1600</v>
      </c>
      <c r="E16" s="127" t="n">
        <v>1600</v>
      </c>
      <c r="F16" s="127" t="n">
        <v>13280</v>
      </c>
      <c r="G16" s="127" t="n">
        <v>11480</v>
      </c>
      <c r="H16" s="127" t="n">
        <v>180</v>
      </c>
      <c r="I16" s="127" t="n">
        <v>2460.667999999991</v>
      </c>
      <c r="J16" s="128" t="n">
        <v>3.539441385544683</v>
      </c>
      <c r="K16" s="127" t="n">
        <v>2460.667999999991</v>
      </c>
      <c r="L16" s="127" t="n">
        <v>47.32053846153828</v>
      </c>
      <c r="M16" s="128" t="n">
        <v>3.539441385544683</v>
      </c>
    </row>
    <row r="17" ht="23.25" customHeight="1" s="74">
      <c r="A17" s="127" t="n">
        <v>100000</v>
      </c>
      <c r="B17" s="127" t="n">
        <v>713.34</v>
      </c>
      <c r="C17" s="127" t="n">
        <v>732.672</v>
      </c>
      <c r="D17" s="127" t="n">
        <v>2000</v>
      </c>
      <c r="E17" s="127" t="n">
        <v>2000</v>
      </c>
      <c r="F17" s="127" t="n">
        <v>21680</v>
      </c>
      <c r="G17" s="127" t="n">
        <v>19680</v>
      </c>
      <c r="H17" s="127" t="n">
        <v>180</v>
      </c>
      <c r="I17" s="127" t="n">
        <v>2660.667999999991</v>
      </c>
      <c r="J17" s="128" t="n">
        <v>3.298774329481667</v>
      </c>
      <c r="K17" s="127" t="n">
        <v>2660.667999999991</v>
      </c>
      <c r="L17" s="127" t="n">
        <v>51.16669230769212</v>
      </c>
      <c r="M17" s="128" t="n">
        <v>3.298774329481667</v>
      </c>
    </row>
    <row r="18" ht="23.25" customHeight="1" s="74">
      <c r="A18" s="127" t="n">
        <v>120000</v>
      </c>
      <c r="B18" s="127" t="n">
        <v>777.7439999999999</v>
      </c>
      <c r="C18" s="127" t="n">
        <v>797.3099999999999</v>
      </c>
      <c r="D18" s="127" t="n">
        <v>2400</v>
      </c>
      <c r="E18" s="127" t="n">
        <v>2400</v>
      </c>
      <c r="F18" s="127" t="n">
        <v>30080</v>
      </c>
      <c r="G18" s="127" t="n">
        <v>27880</v>
      </c>
      <c r="H18" s="127" t="n">
        <v>180</v>
      </c>
      <c r="I18" s="127" t="n">
        <v>2860.434000000008</v>
      </c>
      <c r="J18" s="128" t="n">
        <v>3.116217630461692</v>
      </c>
      <c r="K18" s="127" t="n">
        <v>2860.434000000008</v>
      </c>
      <c r="L18" s="127" t="n">
        <v>55.00834615384632</v>
      </c>
      <c r="M18" s="128" t="n">
        <v>3.116217630461692</v>
      </c>
    </row>
    <row r="19" ht="23.25" customHeight="1" s="74">
      <c r="A19" s="133" t="n">
        <v>200000</v>
      </c>
      <c r="B19" s="133" t="n">
        <v>826.1639999999999</v>
      </c>
      <c r="C19" s="133" t="n">
        <v>865.062</v>
      </c>
      <c r="D19" s="133" t="n">
        <v>4000</v>
      </c>
      <c r="E19" s="133" t="n">
        <v>4149.5</v>
      </c>
      <c r="F19" s="133" t="n">
        <v>63680</v>
      </c>
      <c r="G19" s="133" t="n">
        <v>60680</v>
      </c>
      <c r="H19" s="133" t="n">
        <v>180</v>
      </c>
      <c r="I19" s="133" t="n">
        <v>3491.601999999984</v>
      </c>
      <c r="J19" s="123" t="n">
        <v>2.557136470478144</v>
      </c>
      <c r="K19" s="133" t="n">
        <v>3491.601999999984</v>
      </c>
      <c r="L19" s="133" t="n">
        <v>67.146192307692</v>
      </c>
      <c r="M19" s="123" t="n">
        <v>2.557136470478144</v>
      </c>
    </row>
    <row r="20" ht="15.75" customHeight="1" s="74">
      <c r="A20" s="155" t="n"/>
      <c r="B20" s="155" t="n"/>
      <c r="C20" s="155" t="n"/>
      <c r="D20" s="155" t="n"/>
      <c r="E20" s="155" t="n"/>
      <c r="F20" s="155" t="n"/>
      <c r="G20" s="155" t="n"/>
      <c r="H20" s="155" t="n"/>
      <c r="I20" s="24" t="n"/>
      <c r="J20" s="155" t="n"/>
      <c r="K20" s="155" t="n"/>
      <c r="L20" s="24" t="n"/>
      <c r="M20" s="29" t="n"/>
    </row>
    <row r="21" ht="19.5" customHeight="1" s="74">
      <c r="A21" s="153" t="inlineStr">
        <is>
          <t>Variations can arise due to rounding</t>
        </is>
      </c>
      <c r="B21" s="68" t="n"/>
      <c r="C21" s="68" t="n"/>
      <c r="D21" s="68" t="n"/>
      <c r="E21" s="68" t="n"/>
      <c r="F21" s="68" t="n"/>
      <c r="G21" s="68" t="n"/>
      <c r="H21" s="68" t="n"/>
      <c r="I21" s="69" t="n"/>
      <c r="J21" s="68" t="n"/>
      <c r="K21" s="155" t="n"/>
      <c r="L21" s="24" t="n"/>
      <c r="M21" s="29" t="n"/>
    </row>
    <row r="22" ht="19.5" customHeight="1" s="74">
      <c r="A22" s="152" t="inlineStr">
        <is>
          <t>This example assumes that the joint income is divided 65% and 35% between spouses.</t>
        </is>
      </c>
      <c r="B22" s="70" t="n"/>
      <c r="C22" s="70" t="n"/>
      <c r="D22" s="70" t="n"/>
      <c r="E22" s="70" t="n"/>
      <c r="F22" s="70" t="n"/>
      <c r="G22" s="70" t="n"/>
      <c r="H22" s="70" t="n"/>
      <c r="I22" s="72" t="n"/>
      <c r="J22" s="70" t="n"/>
      <c r="K22" s="29" t="n"/>
      <c r="L22" s="61" t="n"/>
      <c r="M22" s="29" t="n"/>
    </row>
    <row r="23" ht="19.5" customHeight="1" s="74">
      <c r="A23" s="152" t="inlineStr">
        <is>
          <t>(a)  Value during 2007 of the increase in Child Benefit (CB) made in the Budget, which is effective from April, 2007 (i.e. assuming 9 months of CB increase).</t>
        </is>
      </c>
      <c r="B23" s="70" t="n"/>
      <c r="C23" s="70" t="n"/>
      <c r="D23" s="70" t="n"/>
      <c r="E23" s="70" t="n"/>
      <c r="F23" s="70" t="n"/>
      <c r="G23" s="71" t="n"/>
      <c r="H23" s="72" t="n"/>
      <c r="I23" s="70" t="n"/>
      <c r="J23" s="70" t="n"/>
      <c r="K23" s="61" t="n"/>
      <c r="L23" s="61" t="n"/>
      <c r="M23" s="29" t="n"/>
    </row>
    <row r="24" ht="19.5" customHeight="1" s="74">
      <c r="A24" s="152" t="inlineStr">
        <is>
          <t>(b) Includes payment of an additional quarter of ECS (€250 per child) in 2007 as compared with 2006</t>
        </is>
      </c>
      <c r="B24" s="70" t="n"/>
      <c r="C24" s="70" t="n"/>
      <c r="D24" s="70" t="n"/>
      <c r="E24" s="70" t="n"/>
      <c r="F24" s="70" t="n"/>
      <c r="G24" s="71" t="n"/>
      <c r="H24" s="72" t="n"/>
      <c r="I24" s="70" t="n"/>
      <c r="J24" s="70" t="n"/>
      <c r="K24" s="61" t="n"/>
      <c r="L24" s="61" t="n"/>
      <c r="M24" s="29" t="n"/>
    </row>
    <row r="25" ht="19.5" customHeight="1" s="74">
      <c r="A25" s="152" t="inlineStr">
        <is>
          <t>(c) Net income includes CB and ECS less deductions of tax, levy and PRSI (where appropriate) and so may be higher than the gross income.</t>
        </is>
      </c>
      <c r="B25" s="70" t="n"/>
      <c r="C25" s="70" t="n"/>
      <c r="D25" s="70" t="n"/>
      <c r="E25" s="70" t="n"/>
      <c r="F25" s="70" t="n"/>
      <c r="G25" s="71" t="n"/>
      <c r="H25" s="72" t="n"/>
      <c r="I25" s="70" t="n"/>
      <c r="J25" s="70" t="n"/>
      <c r="K25" s="61" t="n"/>
      <c r="L25" s="61" t="n"/>
      <c r="M25" s="29" t="n"/>
    </row>
    <row r="26" ht="19.5" customHeight="1" s="74">
      <c r="A26" s="152" t="inlineStr">
        <is>
          <t>(d) The last three columns show the total gain where Family Income Supplement (FIS) is taken up in both years.  The gain includes the value during 2007  of the</t>
        </is>
      </c>
      <c r="B26" s="70" t="n"/>
      <c r="C26" s="70" t="n"/>
      <c r="D26" s="70" t="n"/>
      <c r="E26" s="70" t="n"/>
      <c r="F26" s="70" t="n"/>
      <c r="G26" s="71" t="n"/>
      <c r="H26" s="72" t="n"/>
      <c r="I26" s="70" t="n"/>
      <c r="J26" s="70" t="n"/>
      <c r="K26" s="61" t="n"/>
      <c r="L26" s="61" t="n"/>
      <c r="M26" s="29" t="n"/>
    </row>
    <row r="27" ht="19.5" customHeight="1" s="74">
      <c r="A27" s="152" t="inlineStr">
        <is>
          <t xml:space="preserve">      improvement in FIS made in this Budget which takes effect from January, 2007.</t>
        </is>
      </c>
      <c r="B27" s="70" t="n"/>
      <c r="C27" s="70" t="n"/>
      <c r="D27" s="70" t="n"/>
      <c r="E27" s="70" t="n"/>
      <c r="F27" s="70" t="n"/>
      <c r="G27" s="71" t="n"/>
      <c r="H27" s="72" t="n"/>
      <c r="I27" s="70" t="n"/>
      <c r="J27" s="70" t="n"/>
      <c r="K27" s="61" t="n"/>
      <c r="L27" s="61" t="n"/>
      <c r="M27" s="29" t="n"/>
    </row>
    <row r="28" ht="19.5" customHeight="1" s="74">
      <c r="A28" s="152" t="inlineStr">
        <is>
          <t>(e) Gains per week are based on a 52 week year</t>
        </is>
      </c>
      <c r="B28" s="70" t="n"/>
      <c r="C28" s="70" t="n"/>
      <c r="D28" s="70" t="n"/>
      <c r="E28" s="70" t="n"/>
      <c r="F28" s="70" t="n"/>
      <c r="G28" s="71" t="n"/>
      <c r="H28" s="72" t="n"/>
      <c r="I28" s="70" t="n"/>
      <c r="J28" s="70" t="n"/>
      <c r="K28" s="61" t="n"/>
      <c r="L28" s="61" t="n"/>
      <c r="M28" s="29" t="n"/>
    </row>
    <row r="29" ht="19.5" customHeight="1" s="74">
      <c r="A29" s="152" t="inlineStr">
        <is>
          <t>(f) Net income includes CB, ECS and FIS (where relevant) less deductions of tax, levy and PRSI (where appropriate) and so may be higher than the gross income.</t>
        </is>
      </c>
      <c r="B29" s="70" t="n"/>
      <c r="C29" s="70" t="n"/>
      <c r="D29" s="70" t="n"/>
      <c r="E29" s="70" t="n"/>
      <c r="F29" s="70" t="n"/>
      <c r="G29" s="71" t="n"/>
      <c r="H29" s="72" t="n"/>
      <c r="I29" s="70" t="n"/>
      <c r="J29" s="70" t="n"/>
      <c r="K29" s="61" t="n"/>
      <c r="L29" s="61" t="n"/>
      <c r="M29" s="29" t="n"/>
    </row>
  </sheetData>
  <mergeCells count="6">
    <mergeCell ref="F4:G4"/>
    <mergeCell ref="A1:M1"/>
    <mergeCell ref="A3:M3"/>
    <mergeCell ref="D4:E4"/>
    <mergeCell ref="A2:M2"/>
    <mergeCell ref="B4:C4"/>
  </mergeCells>
  <printOptions horizontalCentered="1" verticalCentered="1"/>
  <pageMargins left="0.7480314960629921" right="0.7480314960629921" top="0.984251968503937" bottom="0.984251968503937" header="0.5118110236220472" footer="0.5118110236220472"/>
  <pageSetup orientation="landscape" paperSize="9" scale="54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E23" sqref="E23"/>
    </sheetView>
  </sheetViews>
  <sheetFormatPr baseColWidth="8" defaultRowHeight="12.75"/>
  <cols>
    <col width="12.140625" customWidth="1" style="13" min="1" max="1"/>
    <col width="12.7109375" customWidth="1" style="147" min="2" max="2"/>
    <col width="12.85546875" customWidth="1" style="147" min="3" max="3"/>
    <col width="10.7109375" customWidth="1" style="147" min="4" max="4"/>
    <col width="12.42578125" customWidth="1" style="147" min="5" max="5"/>
    <col width="12.85546875" customWidth="1" style="147" min="6" max="6"/>
    <col width="17.140625" bestFit="1" customWidth="1" style="147" min="7" max="7"/>
    <col width="15.85546875" customWidth="1" style="147" min="8" max="8"/>
    <col width="19.42578125" customWidth="1" style="147" min="9" max="10"/>
    <col width="9.140625" customWidth="1" style="147" min="11" max="16384"/>
  </cols>
  <sheetData>
    <row r="1" ht="21.75" customHeight="1" s="74">
      <c r="A1" s="175" t="inlineStr">
        <is>
          <t>EXAMPLE 8</t>
        </is>
      </c>
      <c r="K1" s="13" t="n"/>
    </row>
    <row r="2" ht="18.75" customHeight="1" s="74">
      <c r="A2" s="178" t="inlineStr">
        <is>
          <t xml:space="preserve">Single person taxed under PAYE </t>
        </is>
      </c>
    </row>
    <row r="3" ht="18.75" customHeight="1" s="74">
      <c r="A3" s="179" t="inlineStr">
        <is>
          <t>Modified  rate PRSI contributor</t>
        </is>
      </c>
      <c r="B3" s="195" t="n"/>
      <c r="C3" s="195" t="n"/>
      <c r="D3" s="195" t="n"/>
      <c r="E3" s="195" t="n"/>
      <c r="F3" s="195" t="n"/>
      <c r="G3" s="195" t="n"/>
      <c r="H3" s="195" t="n"/>
      <c r="I3" s="195" t="n"/>
      <c r="J3" s="195" t="n"/>
      <c r="K3" s="13" t="n"/>
    </row>
    <row r="4" ht="15.75" customHeight="1" s="74">
      <c r="A4" s="180" t="inlineStr">
        <is>
          <t>GROSS</t>
        </is>
      </c>
      <c r="B4" s="180" t="inlineStr">
        <is>
          <t>PRSI Liability</t>
        </is>
      </c>
      <c r="C4" s="197" t="n"/>
      <c r="D4" s="180" t="inlineStr">
        <is>
          <t>Levy Liability</t>
        </is>
      </c>
      <c r="E4" s="197" t="n"/>
      <c r="F4" s="180" t="inlineStr">
        <is>
          <t>Tax Liability</t>
        </is>
      </c>
      <c r="G4" s="197" t="n"/>
      <c r="H4" s="180" t="inlineStr">
        <is>
          <t>Total</t>
        </is>
      </c>
      <c r="I4" s="180" t="inlineStr">
        <is>
          <t>Total</t>
        </is>
      </c>
      <c r="J4" s="81" t="inlineStr">
        <is>
          <t xml:space="preserve">Gain as % of </t>
        </is>
      </c>
    </row>
    <row r="5" ht="15.75" customHeight="1" s="74">
      <c r="A5" s="35" t="inlineStr">
        <is>
          <t>INCOME</t>
        </is>
      </c>
      <c r="B5" s="33" t="inlineStr">
        <is>
          <t>Existing</t>
        </is>
      </c>
      <c r="C5" s="33" t="inlineStr">
        <is>
          <t>Proposed</t>
        </is>
      </c>
      <c r="D5" s="33" t="inlineStr">
        <is>
          <t>Existing</t>
        </is>
      </c>
      <c r="E5" s="33" t="inlineStr">
        <is>
          <t>Proposed</t>
        </is>
      </c>
      <c r="F5" s="33" t="inlineStr">
        <is>
          <t>Existing</t>
        </is>
      </c>
      <c r="G5" s="33" t="inlineStr">
        <is>
          <t>Proposed</t>
        </is>
      </c>
      <c r="H5" s="32" t="inlineStr">
        <is>
          <t>Gain</t>
        </is>
      </c>
      <c r="I5" s="32" t="inlineStr">
        <is>
          <t>Gain</t>
        </is>
      </c>
      <c r="J5" s="82" t="inlineStr">
        <is>
          <t>Net Income</t>
        </is>
      </c>
    </row>
    <row r="6" ht="15.75" customHeight="1" s="74">
      <c r="A6" s="35" t="n"/>
      <c r="B6" s="33" t="n"/>
      <c r="C6" s="33" t="n"/>
      <c r="D6" s="33" t="n"/>
      <c r="E6" s="33" t="n"/>
      <c r="F6" s="35" t="n"/>
      <c r="G6" s="83" t="n"/>
      <c r="H6" s="83" t="inlineStr">
        <is>
          <t>(Per Year)</t>
        </is>
      </c>
      <c r="I6" s="35" t="inlineStr">
        <is>
          <t>(Per Week) (a)</t>
        </is>
      </c>
      <c r="J6" s="82" t="n"/>
    </row>
    <row r="7" ht="18.75" customHeight="1" s="74">
      <c r="A7" s="67" t="inlineStr">
        <is>
          <t>€</t>
        </is>
      </c>
      <c r="B7" s="67" t="inlineStr">
        <is>
          <t>€</t>
        </is>
      </c>
      <c r="C7" s="67" t="inlineStr">
        <is>
          <t>€</t>
        </is>
      </c>
      <c r="D7" s="67" t="inlineStr">
        <is>
          <t>€</t>
        </is>
      </c>
      <c r="E7" s="67" t="inlineStr">
        <is>
          <t>€</t>
        </is>
      </c>
      <c r="F7" s="67" t="inlineStr">
        <is>
          <t>€</t>
        </is>
      </c>
      <c r="G7" s="67" t="inlineStr">
        <is>
          <t>€</t>
        </is>
      </c>
      <c r="H7" s="66" t="inlineStr">
        <is>
          <t>€</t>
        </is>
      </c>
      <c r="I7" s="66" t="inlineStr">
        <is>
          <t>€</t>
        </is>
      </c>
      <c r="J7" s="73" t="inlineStr">
        <is>
          <t>%</t>
        </is>
      </c>
    </row>
    <row r="8" ht="15.75" customHeight="1" s="74">
      <c r="A8" s="75" t="n">
        <v>17500</v>
      </c>
      <c r="B8" s="19" t="n">
        <v>145.332</v>
      </c>
      <c r="C8" s="19" t="n">
        <v>0</v>
      </c>
      <c r="D8" s="19" t="n">
        <v>0</v>
      </c>
      <c r="E8" s="19" t="n">
        <v>0</v>
      </c>
      <c r="F8" s="19" t="n">
        <v>380</v>
      </c>
      <c r="G8" s="19" t="n">
        <v>0</v>
      </c>
      <c r="H8" s="19" t="n">
        <v>525.3319999999985</v>
      </c>
      <c r="I8" s="19" t="n">
        <v>10.10253846153843</v>
      </c>
      <c r="J8" s="52" t="n">
        <v>3.094799851166447</v>
      </c>
    </row>
    <row r="9" ht="15.75" customHeight="1" s="74">
      <c r="A9" s="75" t="inlineStr">
        <is>
          <t>25,000 (b)</t>
        </is>
      </c>
      <c r="B9" s="19" t="n">
        <v>212.472</v>
      </c>
      <c r="C9" s="19" t="n">
        <v>212.472</v>
      </c>
      <c r="D9" s="19" t="n">
        <v>499.2</v>
      </c>
      <c r="E9" s="19" t="n">
        <v>0</v>
      </c>
      <c r="F9" s="19" t="n">
        <v>1872</v>
      </c>
      <c r="G9" s="19" t="n">
        <v>1472</v>
      </c>
      <c r="H9" s="19" t="n">
        <v>899.2000000000007</v>
      </c>
      <c r="I9" s="19" t="n">
        <v>17.29230769230771</v>
      </c>
      <c r="J9" s="52" t="n">
        <v>4.018532441962778</v>
      </c>
    </row>
    <row r="10" ht="15.75" customHeight="1" s="74">
      <c r="A10" s="75" t="n">
        <v>30000</v>
      </c>
      <c r="B10" s="19" t="n">
        <v>257.832</v>
      </c>
      <c r="C10" s="19" t="n">
        <v>257.832</v>
      </c>
      <c r="D10" s="19" t="n">
        <v>600</v>
      </c>
      <c r="E10" s="19" t="n">
        <v>600</v>
      </c>
      <c r="F10" s="19" t="n">
        <v>2880</v>
      </c>
      <c r="G10" s="19" t="n">
        <v>2480</v>
      </c>
      <c r="H10" s="19" t="n">
        <v>400</v>
      </c>
      <c r="I10" s="19" t="n">
        <v>7.692307692307693</v>
      </c>
      <c r="J10" s="52" t="n">
        <v>1.523103500061381</v>
      </c>
    </row>
    <row r="11" ht="15.75" customHeight="1" s="74">
      <c r="A11" s="75" t="n">
        <v>35000</v>
      </c>
      <c r="B11" s="19" t="n">
        <v>302.832</v>
      </c>
      <c r="C11" s="19" t="n">
        <v>302.832</v>
      </c>
      <c r="D11" s="19" t="n">
        <v>700</v>
      </c>
      <c r="E11" s="19" t="n">
        <v>700</v>
      </c>
      <c r="F11" s="19" t="n">
        <v>4540</v>
      </c>
      <c r="G11" s="19" t="n">
        <v>3690</v>
      </c>
      <c r="H11" s="19" t="n">
        <v>850</v>
      </c>
      <c r="I11" s="19" t="n">
        <v>16.34615384615385</v>
      </c>
      <c r="J11" s="52" t="n">
        <v>2.88554554870991</v>
      </c>
    </row>
    <row r="12" ht="15.75" customHeight="1" s="74">
      <c r="A12" s="75" t="n">
        <v>40000</v>
      </c>
      <c r="B12" s="19" t="n">
        <v>347.832</v>
      </c>
      <c r="C12" s="19" t="n">
        <v>347.832</v>
      </c>
      <c r="D12" s="19" t="n">
        <v>800</v>
      </c>
      <c r="E12" s="19" t="n">
        <v>800</v>
      </c>
      <c r="F12" s="19" t="n">
        <v>6640</v>
      </c>
      <c r="G12" s="19" t="n">
        <v>5740</v>
      </c>
      <c r="H12" s="19" t="n">
        <v>900</v>
      </c>
      <c r="I12" s="19" t="n">
        <v>17.30769230769231</v>
      </c>
      <c r="J12" s="52" t="n">
        <v>2.793975245627677</v>
      </c>
    </row>
    <row r="13" ht="15.75" customHeight="1" s="74">
      <c r="A13" s="75" t="n">
        <v>45000</v>
      </c>
      <c r="B13" s="19" t="n">
        <v>392.8319999999999</v>
      </c>
      <c r="C13" s="19" t="n">
        <v>392.8319999999999</v>
      </c>
      <c r="D13" s="19" t="n">
        <v>900</v>
      </c>
      <c r="E13" s="19" t="n">
        <v>900</v>
      </c>
      <c r="F13" s="19" t="n">
        <v>8740</v>
      </c>
      <c r="G13" s="19" t="n">
        <v>7790</v>
      </c>
      <c r="H13" s="19" t="n">
        <v>950</v>
      </c>
      <c r="I13" s="19" t="n">
        <v>18.26923076923077</v>
      </c>
      <c r="J13" s="52" t="n">
        <v>2.716834260069332</v>
      </c>
    </row>
    <row r="14" ht="15.75" customHeight="1" s="74">
      <c r="A14" s="75" t="n">
        <v>50000</v>
      </c>
      <c r="B14" s="19" t="n">
        <v>407.934</v>
      </c>
      <c r="C14" s="19" t="n">
        <v>427.266</v>
      </c>
      <c r="D14" s="19" t="n">
        <v>1000</v>
      </c>
      <c r="E14" s="19" t="n">
        <v>1000</v>
      </c>
      <c r="F14" s="19" t="n">
        <v>10840</v>
      </c>
      <c r="G14" s="19" t="n">
        <v>9840</v>
      </c>
      <c r="H14" s="19" t="n">
        <v>980.6679999999978</v>
      </c>
      <c r="I14" s="19" t="n">
        <v>18.85899999999996</v>
      </c>
      <c r="J14" s="52" t="n">
        <v>2.597653860850948</v>
      </c>
    </row>
    <row r="15" ht="15.75" customHeight="1" s="74">
      <c r="A15" s="75" t="n">
        <v>60000</v>
      </c>
      <c r="B15" s="19" t="n">
        <v>409.8059999999999</v>
      </c>
      <c r="C15" s="19" t="n">
        <v>429.138</v>
      </c>
      <c r="D15" s="19" t="n">
        <v>1200</v>
      </c>
      <c r="E15" s="19" t="n">
        <v>1200</v>
      </c>
      <c r="F15" s="19" t="n">
        <v>15040</v>
      </c>
      <c r="G15" s="19" t="n">
        <v>13940</v>
      </c>
      <c r="H15" s="19" t="n">
        <v>1080.667999999998</v>
      </c>
      <c r="I15" s="19" t="n">
        <v>20.78207692307688</v>
      </c>
      <c r="J15" s="52" t="n">
        <v>2.492879270621021</v>
      </c>
    </row>
    <row r="16" ht="15.75" customHeight="1" s="74">
      <c r="A16" s="75" t="n">
        <v>80000</v>
      </c>
      <c r="B16" s="19" t="n">
        <v>412.146</v>
      </c>
      <c r="C16" s="19" t="n">
        <v>431.712</v>
      </c>
      <c r="D16" s="19" t="n">
        <v>1600</v>
      </c>
      <c r="E16" s="19" t="n">
        <v>1600</v>
      </c>
      <c r="F16" s="19" t="n">
        <v>23440</v>
      </c>
      <c r="G16" s="19" t="n">
        <v>22140</v>
      </c>
      <c r="H16" s="19" t="n">
        <v>1280.433999999994</v>
      </c>
      <c r="I16" s="19" t="n">
        <v>24.62373076923065</v>
      </c>
      <c r="J16" s="52" t="n">
        <v>2.3473590730077</v>
      </c>
    </row>
    <row r="17" ht="15.75" customHeight="1" s="74">
      <c r="A17" s="75" t="n">
        <v>100000</v>
      </c>
      <c r="B17" s="19" t="n">
        <v>413.55</v>
      </c>
      <c r="C17" s="19" t="n">
        <v>433.1159999999999</v>
      </c>
      <c r="D17" s="19" t="n">
        <v>2000</v>
      </c>
      <c r="E17" s="19" t="n">
        <v>2000</v>
      </c>
      <c r="F17" s="19" t="n">
        <v>31840</v>
      </c>
      <c r="G17" s="19" t="n">
        <v>30340</v>
      </c>
      <c r="H17" s="19" t="n">
        <v>1480.434000000008</v>
      </c>
      <c r="I17" s="19" t="n">
        <v>28.46988461538478</v>
      </c>
      <c r="J17" s="52" t="n">
        <v>2.251732222804438</v>
      </c>
    </row>
    <row r="18" ht="15.75" customHeight="1" s="74">
      <c r="A18" s="75" t="n">
        <v>120000</v>
      </c>
      <c r="B18" s="19" t="n">
        <v>414.4859999999999</v>
      </c>
      <c r="C18" s="19" t="n">
        <v>434.052</v>
      </c>
      <c r="D18" s="19" t="n">
        <v>2400</v>
      </c>
      <c r="E18" s="19" t="n">
        <v>2499.5</v>
      </c>
      <c r="F18" s="19" t="n">
        <v>40240</v>
      </c>
      <c r="G18" s="19" t="n">
        <v>38540</v>
      </c>
      <c r="H18" s="19" t="n">
        <v>1580.934000000008</v>
      </c>
      <c r="I18" s="19" t="n">
        <v>30.40257692307708</v>
      </c>
      <c r="J18" s="52" t="n">
        <v>2.054614905815053</v>
      </c>
    </row>
    <row r="19" ht="15.75" customHeight="1" s="74">
      <c r="A19" s="76" t="n">
        <v>200000</v>
      </c>
      <c r="B19" s="21" t="n">
        <v>416.3579999999999</v>
      </c>
      <c r="C19" s="21" t="n">
        <v>436.158</v>
      </c>
      <c r="D19" s="21" t="n">
        <v>4000</v>
      </c>
      <c r="E19" s="21" t="n">
        <v>4499.5</v>
      </c>
      <c r="F19" s="21" t="n">
        <v>73840</v>
      </c>
      <c r="G19" s="21" t="n">
        <v>71340</v>
      </c>
      <c r="H19" s="21" t="n">
        <v>1980.700000000012</v>
      </c>
      <c r="I19" s="21" t="n">
        <v>38.09038461538484</v>
      </c>
      <c r="J19" s="53" t="n">
        <v>1.626943278072798</v>
      </c>
    </row>
    <row r="20" ht="18.75" customHeight="1" s="74">
      <c r="A20" s="68" t="n"/>
      <c r="B20" s="68" t="n"/>
      <c r="C20" s="68" t="n"/>
      <c r="D20" s="68" t="n"/>
      <c r="E20" s="68" t="n"/>
      <c r="F20" s="68" t="n"/>
      <c r="G20" s="68" t="n"/>
      <c r="H20" s="69" t="n"/>
      <c r="I20" s="70" t="n"/>
      <c r="J20" s="70" t="n"/>
    </row>
    <row r="21" ht="12.75" customHeight="1" s="74">
      <c r="A21" s="147" t="inlineStr">
        <is>
          <t>Variations can arise due to rounding</t>
        </is>
      </c>
      <c r="E21" s="70" t="n"/>
      <c r="F21" s="70" t="n"/>
      <c r="G21" s="70" t="n"/>
      <c r="H21" s="70" t="n"/>
      <c r="I21" s="70" t="n"/>
      <c r="J21" s="70" t="n"/>
    </row>
    <row r="22" ht="12.75" customHeight="1" s="74">
      <c r="A22" s="160" t="inlineStr">
        <is>
          <t>(a) Gains per week are based on a 52 week year</t>
        </is>
      </c>
      <c r="E22" s="70" t="n"/>
      <c r="F22" s="70" t="n"/>
      <c r="G22" s="70" t="n"/>
      <c r="H22" s="70" t="n"/>
      <c r="I22" s="70" t="n"/>
      <c r="J22" s="70" t="n"/>
    </row>
    <row r="23">
      <c r="A23" s="160" t="inlineStr">
        <is>
          <t>(b) Recte €24,960</t>
        </is>
      </c>
    </row>
  </sheetData>
  <mergeCells count="7">
    <mergeCell ref="F4:G4"/>
    <mergeCell ref="A1:J1"/>
    <mergeCell ref="A23:D23"/>
    <mergeCell ref="A3:J3"/>
    <mergeCell ref="D4:E4"/>
    <mergeCell ref="A2:J2"/>
    <mergeCell ref="B4:C4"/>
  </mergeCells>
  <printOptions horizontalCentered="1" verticalCentered="1"/>
  <pageMargins left="0.7480314960629921" right="0.7480314960629921" top="0.984251968503937" bottom="0.984251968503937" header="0.5118110236220472" footer="0.5118110236220472"/>
  <pageSetup orientation="landscape" paperSize="9" scale="9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D22" sqref="D22"/>
    </sheetView>
  </sheetViews>
  <sheetFormatPr baseColWidth="8" defaultRowHeight="12.75"/>
  <cols>
    <col width="10.7109375" customWidth="1" style="74" min="1" max="1"/>
    <col width="12.7109375" customWidth="1" style="74" min="2" max="2"/>
    <col width="12.140625" customWidth="1" style="74" min="3" max="3"/>
    <col width="10.7109375" customWidth="1" style="74" min="4" max="4"/>
    <col width="12.5703125" customWidth="1" style="74" min="5" max="5"/>
    <col width="12.85546875" customWidth="1" style="74" min="6" max="6"/>
    <col width="15.140625" bestFit="1" customWidth="1" style="74" min="7" max="7"/>
    <col width="15.7109375" customWidth="1" style="74" min="8" max="8"/>
    <col width="17.42578125" customWidth="1" style="74" min="9" max="9"/>
    <col width="18.42578125" customWidth="1" style="74" min="10" max="10"/>
  </cols>
  <sheetData>
    <row r="1" ht="18.75" customHeight="1" s="74">
      <c r="A1" s="175" t="inlineStr">
        <is>
          <t>EXAMPLE 9</t>
        </is>
      </c>
    </row>
    <row r="2" ht="18.75" customHeight="1" s="74">
      <c r="A2" s="178" t="inlineStr">
        <is>
          <t xml:space="preserve">   Married couple, one income, no children  </t>
        </is>
      </c>
    </row>
    <row r="3" ht="18.75" customHeight="1" s="74">
      <c r="A3" s="179" t="inlineStr">
        <is>
          <t>Taxed under Schedule D</t>
        </is>
      </c>
      <c r="B3" s="195" t="n"/>
      <c r="C3" s="195" t="n"/>
      <c r="D3" s="195" t="n"/>
      <c r="E3" s="195" t="n"/>
      <c r="F3" s="195" t="n"/>
      <c r="G3" s="195" t="n"/>
      <c r="H3" s="195" t="n"/>
      <c r="I3" s="195" t="n"/>
      <c r="J3" s="195" t="n"/>
    </row>
    <row r="4" ht="15.75" customHeight="1" s="74">
      <c r="A4" s="180" t="inlineStr">
        <is>
          <t>GROSS</t>
        </is>
      </c>
      <c r="B4" s="180" t="inlineStr">
        <is>
          <t>PRSI Liability</t>
        </is>
      </c>
      <c r="C4" s="197" t="n"/>
      <c r="D4" s="180" t="inlineStr">
        <is>
          <t>Levy Liability</t>
        </is>
      </c>
      <c r="E4" s="197" t="n"/>
      <c r="F4" s="180" t="inlineStr">
        <is>
          <t>Tax Liability</t>
        </is>
      </c>
      <c r="G4" s="197" t="n"/>
      <c r="H4" s="180" t="inlineStr">
        <is>
          <t>Total</t>
        </is>
      </c>
      <c r="I4" s="180" t="inlineStr">
        <is>
          <t>Total</t>
        </is>
      </c>
      <c r="J4" s="55" t="inlineStr">
        <is>
          <t>Gain as % of</t>
        </is>
      </c>
    </row>
    <row r="5" ht="15.75" customHeight="1" s="74">
      <c r="A5" s="32" t="inlineStr">
        <is>
          <t>INCOME</t>
        </is>
      </c>
      <c r="B5" s="33" t="inlineStr">
        <is>
          <t>Existing</t>
        </is>
      </c>
      <c r="C5" s="33" t="inlineStr">
        <is>
          <t>Proposed</t>
        </is>
      </c>
      <c r="D5" s="33" t="inlineStr">
        <is>
          <t>Existing</t>
        </is>
      </c>
      <c r="E5" s="33" t="inlineStr">
        <is>
          <t>Proposed</t>
        </is>
      </c>
      <c r="F5" s="33" t="inlineStr">
        <is>
          <t>Existing</t>
        </is>
      </c>
      <c r="G5" s="33" t="inlineStr">
        <is>
          <t>Proposed</t>
        </is>
      </c>
      <c r="H5" s="32" t="inlineStr">
        <is>
          <t>Gain</t>
        </is>
      </c>
      <c r="I5" s="32" t="inlineStr">
        <is>
          <t>Gain</t>
        </is>
      </c>
      <c r="J5" s="56" t="inlineStr">
        <is>
          <t>Net Income</t>
        </is>
      </c>
    </row>
    <row r="6" ht="15.75" customHeight="1" s="74">
      <c r="A6" s="32" t="n"/>
      <c r="B6" s="33" t="n"/>
      <c r="C6" s="33" t="n"/>
      <c r="D6" s="33" t="n"/>
      <c r="E6" s="33" t="n"/>
      <c r="F6" s="32" t="n"/>
      <c r="G6" s="32" t="n"/>
      <c r="H6" s="32" t="inlineStr">
        <is>
          <t>(Per Year)</t>
        </is>
      </c>
      <c r="I6" s="35" t="inlineStr">
        <is>
          <t>(Per Week) (a)</t>
        </is>
      </c>
      <c r="J6" s="84" t="n"/>
    </row>
    <row r="7" ht="15.75" customHeight="1" s="74">
      <c r="A7" s="33" t="inlineStr">
        <is>
          <t>€</t>
        </is>
      </c>
      <c r="B7" s="33" t="inlineStr">
        <is>
          <t>€</t>
        </is>
      </c>
      <c r="C7" s="33" t="inlineStr">
        <is>
          <t>€</t>
        </is>
      </c>
      <c r="D7" s="33" t="inlineStr">
        <is>
          <t>€</t>
        </is>
      </c>
      <c r="E7" s="33" t="inlineStr">
        <is>
          <t>€</t>
        </is>
      </c>
      <c r="F7" s="33" t="inlineStr">
        <is>
          <t>€</t>
        </is>
      </c>
      <c r="G7" s="33" t="inlineStr">
        <is>
          <t>€</t>
        </is>
      </c>
      <c r="H7" s="33" t="inlineStr">
        <is>
          <t>€</t>
        </is>
      </c>
      <c r="I7" s="33" t="inlineStr">
        <is>
          <t>€</t>
        </is>
      </c>
      <c r="J7" s="85" t="inlineStr">
        <is>
          <t>%</t>
        </is>
      </c>
    </row>
    <row r="8" ht="15.75" customHeight="1" s="74">
      <c r="A8" s="75" t="n">
        <v>17500</v>
      </c>
      <c r="B8" s="19" t="n">
        <v>525</v>
      </c>
      <c r="C8" s="19" t="n">
        <v>525</v>
      </c>
      <c r="D8" s="19" t="n">
        <v>0</v>
      </c>
      <c r="E8" s="19" t="n">
        <v>0</v>
      </c>
      <c r="F8" s="19" t="n">
        <v>240</v>
      </c>
      <c r="G8" s="19" t="n">
        <v>0</v>
      </c>
      <c r="H8" s="19" t="n">
        <v>240</v>
      </c>
      <c r="I8" s="19" t="n">
        <v>4.615384615384615</v>
      </c>
      <c r="J8" s="52" t="n">
        <v>1.434120107559008</v>
      </c>
    </row>
    <row r="9" ht="15.75" customHeight="1" s="74">
      <c r="A9" s="75" t="inlineStr">
        <is>
          <t>25,000 (b)</t>
        </is>
      </c>
      <c r="B9" s="19" t="n">
        <v>748.8</v>
      </c>
      <c r="C9" s="19" t="n">
        <v>748.8</v>
      </c>
      <c r="D9" s="19" t="n">
        <v>499.2</v>
      </c>
      <c r="E9" s="19" t="n">
        <v>0</v>
      </c>
      <c r="F9" s="19" t="n">
        <v>1732</v>
      </c>
      <c r="G9" s="19" t="n">
        <v>1472</v>
      </c>
      <c r="H9" s="19" t="n">
        <v>759.2000000000007</v>
      </c>
      <c r="I9" s="19" t="n">
        <v>14.6</v>
      </c>
      <c r="J9" s="52" t="n">
        <v>3.454049135577801</v>
      </c>
    </row>
    <row r="10" ht="15.75" customHeight="1" s="74">
      <c r="A10" s="75" t="n">
        <v>30000</v>
      </c>
      <c r="B10" s="19" t="n">
        <v>900</v>
      </c>
      <c r="C10" s="19" t="n">
        <v>900</v>
      </c>
      <c r="D10" s="19" t="n">
        <v>600</v>
      </c>
      <c r="E10" s="19" t="n">
        <v>600</v>
      </c>
      <c r="F10" s="19" t="n">
        <v>2740</v>
      </c>
      <c r="G10" s="19" t="n">
        <v>2480</v>
      </c>
      <c r="H10" s="19" t="n">
        <v>260</v>
      </c>
      <c r="I10" s="19" t="n">
        <v>5</v>
      </c>
      <c r="J10" s="52" t="n">
        <v>1.009316770186335</v>
      </c>
    </row>
    <row r="11" ht="15.75" customHeight="1" s="74">
      <c r="A11" s="75" t="n">
        <v>35000</v>
      </c>
      <c r="B11" s="19" t="n">
        <v>1050</v>
      </c>
      <c r="C11" s="19" t="n">
        <v>1050</v>
      </c>
      <c r="D11" s="19" t="n">
        <v>700</v>
      </c>
      <c r="E11" s="19" t="n">
        <v>700</v>
      </c>
      <c r="F11" s="19" t="n">
        <v>3740</v>
      </c>
      <c r="G11" s="19" t="n">
        <v>3480</v>
      </c>
      <c r="H11" s="19" t="n">
        <v>260</v>
      </c>
      <c r="I11" s="19" t="n">
        <v>5</v>
      </c>
      <c r="J11" s="52" t="n">
        <v>0.881057268722467</v>
      </c>
    </row>
    <row r="12" ht="15.75" customHeight="1" s="74">
      <c r="A12" s="75" t="n">
        <v>40000</v>
      </c>
      <c r="B12" s="19" t="n">
        <v>1200</v>
      </c>
      <c r="C12" s="19" t="n">
        <v>1200</v>
      </c>
      <c r="D12" s="19" t="n">
        <v>800</v>
      </c>
      <c r="E12" s="19" t="n">
        <v>800</v>
      </c>
      <c r="F12" s="19" t="n">
        <v>4740</v>
      </c>
      <c r="G12" s="19" t="n">
        <v>4480</v>
      </c>
      <c r="H12" s="19" t="n">
        <v>260</v>
      </c>
      <c r="I12" s="19" t="n">
        <v>5</v>
      </c>
      <c r="J12" s="52" t="n">
        <v>0.7817197835237523</v>
      </c>
    </row>
    <row r="13" ht="15.75" customHeight="1" s="74">
      <c r="A13" s="75" t="n">
        <v>45000</v>
      </c>
      <c r="B13" s="19" t="n">
        <v>1350</v>
      </c>
      <c r="C13" s="19" t="n">
        <v>1350</v>
      </c>
      <c r="D13" s="19" t="n">
        <v>900</v>
      </c>
      <c r="E13" s="19" t="n">
        <v>900</v>
      </c>
      <c r="F13" s="19" t="n">
        <v>6620</v>
      </c>
      <c r="G13" s="19" t="n">
        <v>5900</v>
      </c>
      <c r="H13" s="19" t="n">
        <v>720</v>
      </c>
      <c r="I13" s="19" t="n">
        <v>13.84615384615385</v>
      </c>
      <c r="J13" s="52" t="n">
        <v>1.992803764184888</v>
      </c>
    </row>
    <row r="14" ht="15.75" customHeight="1" s="74">
      <c r="A14" s="75" t="n">
        <v>50000</v>
      </c>
      <c r="B14" s="19" t="n">
        <v>1500</v>
      </c>
      <c r="C14" s="19" t="n">
        <v>1500</v>
      </c>
      <c r="D14" s="19" t="n">
        <v>1000</v>
      </c>
      <c r="E14" s="19" t="n">
        <v>1000</v>
      </c>
      <c r="F14" s="19" t="n">
        <v>8720</v>
      </c>
      <c r="G14" s="19" t="n">
        <v>7950</v>
      </c>
      <c r="H14" s="19" t="n">
        <v>770</v>
      </c>
      <c r="I14" s="19" t="n">
        <v>14.80769230769231</v>
      </c>
      <c r="J14" s="52" t="n">
        <v>1.985559566787004</v>
      </c>
    </row>
    <row r="15" ht="15.75" customHeight="1" s="74">
      <c r="A15" s="75" t="n">
        <v>60000</v>
      </c>
      <c r="B15" s="19" t="n">
        <v>1800</v>
      </c>
      <c r="C15" s="19" t="n">
        <v>1800</v>
      </c>
      <c r="D15" s="19" t="n">
        <v>1200</v>
      </c>
      <c r="E15" s="19" t="n">
        <v>1200</v>
      </c>
      <c r="F15" s="19" t="n">
        <v>12920</v>
      </c>
      <c r="G15" s="19" t="n">
        <v>12050</v>
      </c>
      <c r="H15" s="19" t="n">
        <v>870</v>
      </c>
      <c r="I15" s="19" t="n">
        <v>16.73076923076923</v>
      </c>
      <c r="J15" s="52" t="n">
        <v>1.973684210526316</v>
      </c>
    </row>
    <row r="16" ht="15.75" customHeight="1" s="74">
      <c r="A16" s="75" t="n">
        <v>80000</v>
      </c>
      <c r="B16" s="19" t="n">
        <v>2400</v>
      </c>
      <c r="C16" s="19" t="n">
        <v>2400</v>
      </c>
      <c r="D16" s="19" t="n">
        <v>1600</v>
      </c>
      <c r="E16" s="19" t="n">
        <v>1600</v>
      </c>
      <c r="F16" s="19" t="n">
        <v>21320</v>
      </c>
      <c r="G16" s="19" t="n">
        <v>20250</v>
      </c>
      <c r="H16" s="19" t="n">
        <v>1070</v>
      </c>
      <c r="I16" s="19" t="n">
        <v>20.57692307692308</v>
      </c>
      <c r="J16" s="52" t="n">
        <v>1.956839795171909</v>
      </c>
    </row>
    <row r="17" ht="15.75" customHeight="1" s="74">
      <c r="A17" s="75" t="n">
        <v>100000</v>
      </c>
      <c r="B17" s="19" t="n">
        <v>3000</v>
      </c>
      <c r="C17" s="19" t="n">
        <v>3000</v>
      </c>
      <c r="D17" s="19" t="n">
        <v>2000</v>
      </c>
      <c r="E17" s="19" t="n">
        <v>2000</v>
      </c>
      <c r="F17" s="19" t="n">
        <v>29720</v>
      </c>
      <c r="G17" s="19" t="n">
        <v>28450</v>
      </c>
      <c r="H17" s="19" t="n">
        <v>1270</v>
      </c>
      <c r="I17" s="19" t="n">
        <v>24.42307692307692</v>
      </c>
      <c r="J17" s="52" t="n">
        <v>1.94546568627451</v>
      </c>
    </row>
    <row r="18" ht="15.75" customHeight="1" s="74">
      <c r="A18" s="75" t="n">
        <v>120000</v>
      </c>
      <c r="B18" s="19" t="n">
        <v>3600</v>
      </c>
      <c r="C18" s="19" t="n">
        <v>3600</v>
      </c>
      <c r="D18" s="19" t="n">
        <v>2400</v>
      </c>
      <c r="E18" s="19" t="n">
        <v>2500</v>
      </c>
      <c r="F18" s="19" t="n">
        <v>38120</v>
      </c>
      <c r="G18" s="19" t="n">
        <v>36650</v>
      </c>
      <c r="H18" s="19" t="n">
        <v>1371</v>
      </c>
      <c r="I18" s="19" t="n">
        <v>26.34615384615385</v>
      </c>
      <c r="J18" s="52" t="n">
        <v>1.805482340537691</v>
      </c>
    </row>
    <row r="19" ht="15.75" customHeight="1" s="74">
      <c r="A19" s="76" t="n">
        <v>200000</v>
      </c>
      <c r="B19" s="21" t="n">
        <v>6000</v>
      </c>
      <c r="C19" s="21" t="n">
        <v>6000</v>
      </c>
      <c r="D19" s="21" t="n">
        <v>4000</v>
      </c>
      <c r="E19" s="21" t="n">
        <v>4500</v>
      </c>
      <c r="F19" s="21" t="n">
        <v>71720</v>
      </c>
      <c r="G19" s="21" t="n">
        <v>69450</v>
      </c>
      <c r="H19" s="21" t="n">
        <v>1771</v>
      </c>
      <c r="I19" s="21" t="n">
        <v>34.03846153846154</v>
      </c>
      <c r="J19" s="53" t="n">
        <v>1.496449103821441</v>
      </c>
    </row>
    <row r="20">
      <c r="A20" s="147" t="n"/>
      <c r="B20" s="147" t="n"/>
      <c r="C20" s="147" t="n"/>
      <c r="D20" s="147" t="n"/>
      <c r="E20" s="147" t="n"/>
      <c r="F20" s="147" t="n"/>
      <c r="G20" s="147" t="n"/>
      <c r="H20" s="27" t="n"/>
      <c r="I20" s="147" t="n"/>
      <c r="J20" s="147" t="n"/>
    </row>
    <row r="21">
      <c r="A21" s="147" t="inlineStr">
        <is>
          <t>Variations can arise due to rounding.</t>
        </is>
      </c>
      <c r="B21" s="147" t="n"/>
      <c r="C21" s="147" t="n"/>
      <c r="D21" s="147" t="n"/>
      <c r="E21" s="147" t="n"/>
      <c r="F21" s="147" t="n"/>
      <c r="G21" s="147" t="n"/>
      <c r="H21" s="27" t="n"/>
    </row>
    <row r="22">
      <c r="A22" s="147" t="inlineStr">
        <is>
          <t>(a) Gains per week are based on a 52 week year</t>
        </is>
      </c>
      <c r="B22" s="147" t="n"/>
      <c r="C22" s="147" t="n"/>
      <c r="D22" s="147" t="n"/>
      <c r="E22" s="147" t="n"/>
      <c r="F22" s="147" t="n"/>
      <c r="G22" s="147" t="n"/>
      <c r="H22" s="27" t="n"/>
    </row>
    <row r="23">
      <c r="A23" s="147" t="inlineStr">
        <is>
          <t>(b) Recte €24,960</t>
        </is>
      </c>
      <c r="B23" s="147" t="n"/>
      <c r="C23" s="147" t="n"/>
      <c r="D23" s="13" t="n"/>
      <c r="E23" s="147" t="n"/>
      <c r="F23" s="147" t="n"/>
      <c r="G23" s="147" t="n"/>
      <c r="H23" s="27" t="n"/>
    </row>
    <row r="24">
      <c r="A24" s="147" t="n"/>
      <c r="B24" s="147" t="n"/>
      <c r="C24" s="147" t="n"/>
      <c r="D24" s="147" t="n"/>
      <c r="E24" s="147" t="n"/>
      <c r="F24" s="147" t="n"/>
      <c r="G24" s="147" t="n"/>
      <c r="H24" s="27" t="n"/>
    </row>
  </sheetData>
  <mergeCells count="6">
    <mergeCell ref="F4:G4"/>
    <mergeCell ref="A1:J1"/>
    <mergeCell ref="A3:J3"/>
    <mergeCell ref="D4:E4"/>
    <mergeCell ref="A2:J2"/>
    <mergeCell ref="B4:C4"/>
  </mergeCells>
  <printOptions horizontalCentered="1" verticalCentered="1"/>
  <pageMargins left="0.7480314960629921" right="0.7480314960629921" top="0.984251968503937" bottom="0.984251968503937" header="0.5118110236220472" footer="0.5118110236220472"/>
  <pageSetup orientation="landscape" paperSize="9" scale="9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topLeftCell="A4" workbookViewId="0">
      <selection activeCell="C28" sqref="C28"/>
    </sheetView>
  </sheetViews>
  <sheetFormatPr baseColWidth="8" defaultRowHeight="12.75"/>
  <cols>
    <col width="10.7109375" customWidth="1" style="13" min="1" max="1"/>
    <col width="12.7109375" customWidth="1" style="147" min="2" max="2"/>
    <col width="10.7109375" customWidth="1" style="147" min="3" max="4"/>
    <col width="10.85546875" customWidth="1" style="147" min="5" max="5"/>
    <col width="14.42578125" customWidth="1" style="147" min="6" max="6"/>
    <col width="10.140625" customWidth="1" style="147" min="7" max="7"/>
    <col width="14.140625" customWidth="1" style="147" min="8" max="8"/>
    <col width="15.140625" bestFit="1" customWidth="1" style="147" min="9" max="9"/>
    <col width="15.85546875" customWidth="1" style="147" min="10" max="10"/>
    <col width="20" customWidth="1" style="147" min="11" max="11"/>
    <col width="9.140625" customWidth="1" style="147" min="12" max="16384"/>
  </cols>
  <sheetData>
    <row r="1" ht="18.75" customHeight="1" s="74">
      <c r="A1" s="175" t="inlineStr">
        <is>
          <t>EXAMPLE 10</t>
        </is>
      </c>
    </row>
    <row r="2" ht="18.75" customHeight="1" s="74">
      <c r="A2" s="178" t="inlineStr">
        <is>
          <t xml:space="preserve">   Married couple, one income, two children (under the age of 6)  </t>
        </is>
      </c>
    </row>
    <row r="3" ht="18.75" customHeight="1" s="74">
      <c r="A3" s="179" t="inlineStr">
        <is>
          <t xml:space="preserve">   Taxed under Schedule D</t>
        </is>
      </c>
      <c r="B3" s="195" t="n"/>
      <c r="C3" s="195" t="n"/>
      <c r="D3" s="195" t="n"/>
      <c r="E3" s="195" t="n"/>
      <c r="F3" s="195" t="n"/>
      <c r="G3" s="195" t="n"/>
      <c r="H3" s="195" t="n"/>
      <c r="I3" s="195" t="n"/>
      <c r="J3" s="195" t="n"/>
      <c r="K3" s="195" t="n"/>
    </row>
    <row r="4" ht="15.75" customHeight="1" s="74">
      <c r="A4" s="180" t="inlineStr">
        <is>
          <t>GROSS</t>
        </is>
      </c>
      <c r="B4" s="180" t="inlineStr">
        <is>
          <t xml:space="preserve">     PRSI Liability</t>
        </is>
      </c>
      <c r="C4" s="197" t="n"/>
      <c r="D4" s="33" t="inlineStr">
        <is>
          <t>Levy Liability</t>
        </is>
      </c>
      <c r="E4" s="196" t="n"/>
      <c r="F4" s="180" t="inlineStr">
        <is>
          <t xml:space="preserve">    Tax Liability</t>
        </is>
      </c>
      <c r="G4" s="180" t="n"/>
      <c r="H4" s="180" t="inlineStr">
        <is>
          <t>Child Benefit</t>
        </is>
      </c>
      <c r="I4" s="180" t="inlineStr">
        <is>
          <t>Total</t>
        </is>
      </c>
      <c r="J4" s="180" t="inlineStr">
        <is>
          <t>Total</t>
        </is>
      </c>
      <c r="K4" s="16" t="inlineStr">
        <is>
          <t>Gain as % of</t>
        </is>
      </c>
    </row>
    <row r="5" ht="15.75" customHeight="1" s="74">
      <c r="A5" s="35" t="inlineStr">
        <is>
          <t>INCOME</t>
        </is>
      </c>
      <c r="B5" s="33" t="inlineStr">
        <is>
          <t>Existing</t>
        </is>
      </c>
      <c r="C5" s="33" t="inlineStr">
        <is>
          <t>Proposed</t>
        </is>
      </c>
      <c r="D5" s="33" t="inlineStr">
        <is>
          <t>Existing</t>
        </is>
      </c>
      <c r="E5" s="33" t="inlineStr">
        <is>
          <t>Proposed</t>
        </is>
      </c>
      <c r="F5" s="35" t="inlineStr">
        <is>
          <t>Existing</t>
        </is>
      </c>
      <c r="G5" s="35" t="inlineStr">
        <is>
          <t>Proposed</t>
        </is>
      </c>
      <c r="H5" s="35" t="inlineStr">
        <is>
          <t>Increase (a)</t>
        </is>
      </c>
      <c r="I5" s="35" t="inlineStr">
        <is>
          <t>Gain (b)</t>
        </is>
      </c>
      <c r="J5" s="35" t="inlineStr">
        <is>
          <t>Gain</t>
        </is>
      </c>
      <c r="K5" s="86" t="inlineStr">
        <is>
          <t>Net Income (d)</t>
        </is>
      </c>
    </row>
    <row r="6" ht="15.75" customHeight="1" s="74">
      <c r="A6" s="35" t="n"/>
      <c r="B6" s="33" t="n"/>
      <c r="C6" s="33" t="n"/>
      <c r="D6" s="33" t="n"/>
      <c r="E6" s="33" t="n"/>
      <c r="F6" s="35" t="n"/>
      <c r="G6" s="35" t="n"/>
      <c r="H6" s="35" t="n"/>
      <c r="I6" s="35" t="inlineStr">
        <is>
          <t>(Per Year)</t>
        </is>
      </c>
      <c r="J6" s="35" t="inlineStr">
        <is>
          <t>(Per Week) ( c)</t>
        </is>
      </c>
      <c r="K6" s="17" t="n"/>
    </row>
    <row r="7" ht="15.75" customHeight="1" s="74">
      <c r="A7" s="33" t="inlineStr">
        <is>
          <t>€</t>
        </is>
      </c>
      <c r="B7" s="33" t="inlineStr">
        <is>
          <t>€</t>
        </is>
      </c>
      <c r="C7" s="33" t="inlineStr">
        <is>
          <t>€</t>
        </is>
      </c>
      <c r="D7" s="33" t="inlineStr">
        <is>
          <t>€</t>
        </is>
      </c>
      <c r="E7" s="33" t="inlineStr">
        <is>
          <t>€</t>
        </is>
      </c>
      <c r="F7" s="33" t="inlineStr">
        <is>
          <t>€</t>
        </is>
      </c>
      <c r="G7" s="33" t="inlineStr">
        <is>
          <t>€</t>
        </is>
      </c>
      <c r="H7" s="33" t="inlineStr">
        <is>
          <t>€</t>
        </is>
      </c>
      <c r="I7" s="33" t="inlineStr">
        <is>
          <t>€</t>
        </is>
      </c>
      <c r="J7" s="33" t="inlineStr">
        <is>
          <t>€</t>
        </is>
      </c>
      <c r="K7" s="18" t="inlineStr">
        <is>
          <t>%</t>
        </is>
      </c>
    </row>
    <row r="8" ht="15.75" customHeight="1" s="74">
      <c r="A8" s="75" t="n">
        <v>17500</v>
      </c>
      <c r="B8" s="19" t="n">
        <v>525</v>
      </c>
      <c r="C8" s="19" t="n">
        <v>525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180</v>
      </c>
      <c r="I8" s="19" t="n">
        <v>680</v>
      </c>
      <c r="J8" s="19" t="n">
        <v>13.07692307692308</v>
      </c>
      <c r="K8" s="20" t="n">
        <v>3.087456752903571</v>
      </c>
    </row>
    <row r="9" ht="15.75" customHeight="1" s="74">
      <c r="A9" s="75" t="inlineStr">
        <is>
          <t>25,000 (e)</t>
        </is>
      </c>
      <c r="B9" s="19" t="n">
        <v>748.8</v>
      </c>
      <c r="C9" s="19" t="n">
        <v>748.8</v>
      </c>
      <c r="D9" s="19" t="n">
        <v>499.2</v>
      </c>
      <c r="E9" s="19" t="n">
        <v>0</v>
      </c>
      <c r="F9" s="19" t="n">
        <v>962</v>
      </c>
      <c r="G9" s="19" t="n">
        <v>702</v>
      </c>
      <c r="H9" s="19" t="n">
        <v>180</v>
      </c>
      <c r="I9" s="19" t="n">
        <v>1439.2</v>
      </c>
      <c r="J9" s="19" t="n">
        <v>27.67692307692309</v>
      </c>
      <c r="K9" s="20" t="n">
        <v>5.177052907236078</v>
      </c>
    </row>
    <row r="10" ht="15.75" customHeight="1" s="74">
      <c r="A10" s="75" t="n">
        <v>30000</v>
      </c>
      <c r="B10" s="19" t="n">
        <v>900</v>
      </c>
      <c r="C10" s="19" t="n">
        <v>900</v>
      </c>
      <c r="D10" s="19" t="n">
        <v>600</v>
      </c>
      <c r="E10" s="19" t="n">
        <v>600</v>
      </c>
      <c r="F10" s="19" t="n">
        <v>1970</v>
      </c>
      <c r="G10" s="19" t="n">
        <v>1710</v>
      </c>
      <c r="H10" s="19" t="n">
        <v>180</v>
      </c>
      <c r="I10" s="19" t="n">
        <v>940</v>
      </c>
      <c r="J10" s="19" t="n">
        <v>18.07692307692308</v>
      </c>
      <c r="K10" s="20" t="n">
        <v>2.97660515016023</v>
      </c>
    </row>
    <row r="11" ht="15.75" customHeight="1" s="74">
      <c r="A11" s="75" t="n">
        <v>35000</v>
      </c>
      <c r="B11" s="19" t="n">
        <v>1050</v>
      </c>
      <c r="C11" s="19" t="n">
        <v>1050</v>
      </c>
      <c r="D11" s="19" t="n">
        <v>700</v>
      </c>
      <c r="E11" s="19" t="n">
        <v>700</v>
      </c>
      <c r="F11" s="19" t="n">
        <v>2970</v>
      </c>
      <c r="G11" s="19" t="n">
        <v>2710</v>
      </c>
      <c r="H11" s="19" t="n">
        <v>180</v>
      </c>
      <c r="I11" s="19" t="n">
        <v>940</v>
      </c>
      <c r="J11" s="19" t="n">
        <v>18.07692307692308</v>
      </c>
      <c r="K11" s="20" t="n">
        <v>2.660658484670078</v>
      </c>
    </row>
    <row r="12" ht="15.75" customHeight="1" s="74">
      <c r="A12" s="75" t="n">
        <v>40000</v>
      </c>
      <c r="B12" s="19" t="n">
        <v>1200</v>
      </c>
      <c r="C12" s="19" t="n">
        <v>1200</v>
      </c>
      <c r="D12" s="19" t="n">
        <v>800</v>
      </c>
      <c r="E12" s="19" t="n">
        <v>800</v>
      </c>
      <c r="F12" s="19" t="n">
        <v>3970</v>
      </c>
      <c r="G12" s="19" t="n">
        <v>3710</v>
      </c>
      <c r="H12" s="19" t="n">
        <v>180</v>
      </c>
      <c r="I12" s="19" t="n">
        <v>940</v>
      </c>
      <c r="J12" s="19" t="n">
        <v>18.07692307692308</v>
      </c>
      <c r="K12" s="20" t="n">
        <v>2.405347035281835</v>
      </c>
    </row>
    <row r="13" ht="15.75" customHeight="1" s="74">
      <c r="A13" s="75" t="n">
        <v>45000</v>
      </c>
      <c r="B13" s="19" t="n">
        <v>1350</v>
      </c>
      <c r="C13" s="19" t="n">
        <v>1350</v>
      </c>
      <c r="D13" s="19" t="n">
        <v>900</v>
      </c>
      <c r="E13" s="19" t="n">
        <v>900</v>
      </c>
      <c r="F13" s="19" t="n">
        <v>5850</v>
      </c>
      <c r="G13" s="19" t="n">
        <v>5130</v>
      </c>
      <c r="H13" s="19" t="n">
        <v>180</v>
      </c>
      <c r="I13" s="19" t="n">
        <v>1400</v>
      </c>
      <c r="J13" s="19" t="n">
        <v>26.92307692307692</v>
      </c>
      <c r="K13" s="20" t="n">
        <v>3.337338139100253</v>
      </c>
    </row>
    <row r="14" ht="15.75" customHeight="1" s="74">
      <c r="A14" s="75" t="n">
        <v>50000</v>
      </c>
      <c r="B14" s="19" t="n">
        <v>1500</v>
      </c>
      <c r="C14" s="19" t="n">
        <v>1500</v>
      </c>
      <c r="D14" s="19" t="n">
        <v>1000</v>
      </c>
      <c r="E14" s="19" t="n">
        <v>1000</v>
      </c>
      <c r="F14" s="19" t="n">
        <v>7950</v>
      </c>
      <c r="G14" s="19" t="n">
        <v>7180</v>
      </c>
      <c r="H14" s="19" t="n">
        <v>180</v>
      </c>
      <c r="I14" s="19" t="n">
        <v>1450</v>
      </c>
      <c r="J14" s="19" t="n">
        <v>27.88461538461538</v>
      </c>
      <c r="K14" s="20" t="n">
        <v>3.251150234531251</v>
      </c>
    </row>
    <row r="15" ht="15.75" customHeight="1" s="74">
      <c r="A15" s="75" t="n">
        <v>60000</v>
      </c>
      <c r="B15" s="19" t="n">
        <v>1800</v>
      </c>
      <c r="C15" s="19" t="n">
        <v>1800</v>
      </c>
      <c r="D15" s="19" t="n">
        <v>1200</v>
      </c>
      <c r="E15" s="19" t="n">
        <v>1200</v>
      </c>
      <c r="F15" s="19" t="n">
        <v>12150</v>
      </c>
      <c r="G15" s="19" t="n">
        <v>11280</v>
      </c>
      <c r="H15" s="19" t="n">
        <v>180</v>
      </c>
      <c r="I15" s="19" t="n">
        <v>1550</v>
      </c>
      <c r="J15" s="19" t="n">
        <v>29.80769230769231</v>
      </c>
      <c r="K15" s="20" t="n">
        <v>3.106237324547692</v>
      </c>
    </row>
    <row r="16" ht="15.75" customHeight="1" s="74">
      <c r="A16" s="75" t="n">
        <v>80000</v>
      </c>
      <c r="B16" s="19" t="n">
        <v>2400</v>
      </c>
      <c r="C16" s="19" t="n">
        <v>2400</v>
      </c>
      <c r="D16" s="19" t="n">
        <v>1600</v>
      </c>
      <c r="E16" s="19" t="n">
        <v>1600</v>
      </c>
      <c r="F16" s="19" t="n">
        <v>20550</v>
      </c>
      <c r="G16" s="19" t="n">
        <v>19480</v>
      </c>
      <c r="H16" s="19" t="n">
        <v>180</v>
      </c>
      <c r="I16" s="19" t="n">
        <v>1750</v>
      </c>
      <c r="J16" s="19" t="n">
        <v>33.65384615384615</v>
      </c>
      <c r="K16" s="20" t="n">
        <v>2.892581107974268</v>
      </c>
    </row>
    <row r="17" ht="15.75" customHeight="1" s="74">
      <c r="A17" s="75" t="n">
        <v>100000</v>
      </c>
      <c r="B17" s="19" t="n">
        <v>3000</v>
      </c>
      <c r="C17" s="19" t="n">
        <v>3000</v>
      </c>
      <c r="D17" s="19" t="n">
        <v>2000</v>
      </c>
      <c r="E17" s="19" t="n">
        <v>2000</v>
      </c>
      <c r="F17" s="19" t="n">
        <v>28950</v>
      </c>
      <c r="G17" s="19" t="n">
        <v>27680</v>
      </c>
      <c r="H17" s="19" t="n">
        <v>180</v>
      </c>
      <c r="I17" s="19" t="n">
        <v>1950</v>
      </c>
      <c r="J17" s="19" t="n">
        <v>37.5</v>
      </c>
      <c r="K17" s="20" t="n">
        <v>2.742631463468149</v>
      </c>
    </row>
    <row r="18" ht="15.75" customHeight="1" s="74">
      <c r="A18" s="75" t="n">
        <v>120000</v>
      </c>
      <c r="B18" s="19" t="n">
        <v>3600</v>
      </c>
      <c r="C18" s="19" t="n">
        <v>3600</v>
      </c>
      <c r="D18" s="19" t="n">
        <v>2400</v>
      </c>
      <c r="E18" s="19" t="n">
        <v>2500</v>
      </c>
      <c r="F18" s="19" t="n">
        <v>37350</v>
      </c>
      <c r="G18" s="19" t="n">
        <v>35880</v>
      </c>
      <c r="H18" s="19" t="n">
        <v>180</v>
      </c>
      <c r="I18" s="19" t="n">
        <v>2051</v>
      </c>
      <c r="J18" s="19" t="n">
        <v>39.42307692307692</v>
      </c>
      <c r="K18" s="20" t="n">
        <v>2.509192211467376</v>
      </c>
    </row>
    <row r="19" ht="15.75" customHeight="1" s="74">
      <c r="A19" s="76" t="n">
        <v>200000</v>
      </c>
      <c r="B19" s="21" t="n">
        <v>6000</v>
      </c>
      <c r="C19" s="21" t="n">
        <v>6000</v>
      </c>
      <c r="D19" s="21" t="n">
        <v>4000</v>
      </c>
      <c r="E19" s="21" t="n">
        <v>4500</v>
      </c>
      <c r="F19" s="21" t="n">
        <v>70950</v>
      </c>
      <c r="G19" s="21" t="n">
        <v>68680</v>
      </c>
      <c r="H19" s="21" t="n">
        <v>180</v>
      </c>
      <c r="I19" s="21" t="n">
        <v>2451</v>
      </c>
      <c r="J19" s="21" t="n">
        <v>47.11538461538461</v>
      </c>
      <c r="K19" s="22" t="n">
        <v>1.974220706593736</v>
      </c>
    </row>
    <row r="20" ht="12.75" customHeight="1" s="74">
      <c r="A20" s="155" t="n"/>
      <c r="B20" s="155" t="n"/>
      <c r="C20" s="155" t="n"/>
      <c r="D20" s="155" t="n"/>
      <c r="E20" s="155" t="n"/>
      <c r="F20" s="155" t="n"/>
      <c r="G20" s="155" t="n"/>
      <c r="H20" s="155" t="n"/>
      <c r="I20" s="155" t="n"/>
      <c r="J20" s="24" t="n"/>
    </row>
    <row r="21" ht="15.75" customHeight="1" s="74">
      <c r="A21" s="12" t="inlineStr">
        <is>
          <t>Variations can arise due to rounding</t>
        </is>
      </c>
      <c r="B21" s="155" t="n"/>
      <c r="C21" s="155" t="n"/>
      <c r="D21" s="155" t="n"/>
      <c r="E21" s="155" t="n"/>
      <c r="F21" s="155" t="n"/>
      <c r="G21" s="155" t="n"/>
      <c r="H21" s="24" t="n"/>
      <c r="I21" s="155" t="n"/>
      <c r="J21" s="155" t="n"/>
      <c r="K21" s="24" t="n"/>
    </row>
    <row r="22">
      <c r="A22" s="160" t="inlineStr">
        <is>
          <t>(a)  Value during 2007 of the increase in Child Benefit (CB) made in the Budget, which is effective from April, 2007 (i.e. assuming 9 months of CB increase).</t>
        </is>
      </c>
      <c r="G22" s="26" t="n"/>
      <c r="H22" s="27" t="n"/>
      <c r="K22" s="27" t="n"/>
    </row>
    <row r="23">
      <c r="A23" s="160" t="inlineStr">
        <is>
          <t>(b) Includes payment of an additional quarter of ECS (€250 per child) in 2007 as compared with 2006</t>
        </is>
      </c>
      <c r="G23" s="26" t="n"/>
      <c r="H23" s="27" t="n"/>
      <c r="K23" s="27" t="n"/>
    </row>
    <row r="24" ht="14.25" customHeight="1" s="74">
      <c r="A24" s="160" t="inlineStr">
        <is>
          <t>(c) Gains per week are based on a 52 week year</t>
        </is>
      </c>
      <c r="G24" s="26" t="n"/>
      <c r="H24" s="27" t="n"/>
      <c r="K24" s="27" t="n"/>
    </row>
    <row r="25" ht="13.5" customHeight="1" s="74">
      <c r="A25" s="160" t="inlineStr">
        <is>
          <t>(d) Net income includes CB and ECS less deductions of tax, levy and PRSI (where appropriate) and so may be higher than the gross income.</t>
        </is>
      </c>
      <c r="G25" s="26" t="n"/>
      <c r="H25" s="27" t="n"/>
      <c r="K25" s="27" t="n"/>
    </row>
    <row r="26" ht="14.25" customHeight="1" s="74">
      <c r="A26" s="154" t="inlineStr">
        <is>
          <t>(e) Recte €24,960</t>
        </is>
      </c>
      <c r="B26" s="87" t="n"/>
      <c r="C26" s="34" t="n"/>
      <c r="D26" s="34" t="n"/>
      <c r="E26" s="34" t="n"/>
      <c r="F26" s="34" t="n"/>
      <c r="G26" s="34" t="n"/>
      <c r="H26" s="34" t="n"/>
      <c r="I26" s="34" t="n"/>
      <c r="J26" s="34" t="n"/>
    </row>
  </sheetData>
  <mergeCells count="5">
    <mergeCell ref="A3:K3"/>
    <mergeCell ref="A2:K2"/>
    <mergeCell ref="D4:E4"/>
    <mergeCell ref="A1:K1"/>
    <mergeCell ref="B4:C4"/>
  </mergeCells>
  <printOptions horizontalCentered="1" verticalCentered="1"/>
  <pageMargins left="0.7480314960629921" right="0.7480314960629921" top="0.984251968503937" bottom="0.984251968503937" header="0.5118110236220472" footer="0.5118110236220472"/>
  <pageSetup orientation="landscape" paperSize="9" scale="8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6"/>
  <sheetViews>
    <sheetView topLeftCell="A7" workbookViewId="0">
      <selection activeCell="B20" sqref="B20"/>
    </sheetView>
  </sheetViews>
  <sheetFormatPr baseColWidth="8" defaultRowHeight="12.75"/>
  <cols>
    <col width="11.42578125" customWidth="1" style="13" min="1" max="1"/>
    <col width="12.85546875" customWidth="1" style="13" min="2" max="2"/>
    <col width="14.140625" customWidth="1" style="13" min="3" max="3"/>
    <col width="12.140625" customWidth="1" style="13" min="4" max="4"/>
    <col width="13.5703125" customWidth="1" style="13" min="5" max="5"/>
    <col width="13.85546875" customWidth="1" style="13" min="6" max="6"/>
    <col width="15.7109375" customWidth="1" style="13" min="7" max="7"/>
    <col width="18.140625" customWidth="1" style="13" min="8" max="8"/>
    <col width="14.7109375" customWidth="1" style="13" min="9" max="9"/>
    <col width="20.85546875" customWidth="1" style="13" min="10" max="10"/>
    <col width="21.5703125" customWidth="1" style="13" min="11" max="11"/>
    <col width="9.140625" customWidth="1" style="13" min="12" max="16384"/>
  </cols>
  <sheetData>
    <row r="1" ht="18.75" customHeight="1" s="74">
      <c r="A1" s="175" t="inlineStr">
        <is>
          <t>EXAMPLE 11</t>
        </is>
      </c>
    </row>
    <row r="2" ht="18.75" customHeight="1" s="74">
      <c r="A2" s="178" t="inlineStr">
        <is>
          <t xml:space="preserve">Married couple, two incomes, two children, (under the age of 6)  </t>
        </is>
      </c>
    </row>
    <row r="3" ht="18.75" customHeight="1" s="74">
      <c r="A3" s="179" t="inlineStr">
        <is>
          <t xml:space="preserve">Taxed under Schedule D </t>
        </is>
      </c>
      <c r="B3" s="195" t="n"/>
      <c r="C3" s="195" t="n"/>
      <c r="D3" s="195" t="n"/>
      <c r="E3" s="195" t="n"/>
      <c r="F3" s="195" t="n"/>
      <c r="G3" s="195" t="n"/>
      <c r="H3" s="195" t="n"/>
      <c r="I3" s="195" t="n"/>
      <c r="J3" s="195" t="n"/>
      <c r="K3" s="195" t="n"/>
    </row>
    <row r="4" ht="15.75" customHeight="1" s="74">
      <c r="A4" s="180" t="inlineStr">
        <is>
          <t>GROSS</t>
        </is>
      </c>
      <c r="B4" s="33" t="inlineStr">
        <is>
          <t>PRSI Liability</t>
        </is>
      </c>
      <c r="C4" s="196" t="n"/>
      <c r="D4" s="33" t="inlineStr">
        <is>
          <t>Levy Liability</t>
        </is>
      </c>
      <c r="E4" s="196" t="n"/>
      <c r="F4" s="180" t="inlineStr">
        <is>
          <t xml:space="preserve">       Tax Liability</t>
        </is>
      </c>
      <c r="G4" s="197" t="n"/>
      <c r="H4" s="180" t="inlineStr">
        <is>
          <t>Child Benefit</t>
        </is>
      </c>
      <c r="I4" s="180" t="inlineStr">
        <is>
          <t>Total</t>
        </is>
      </c>
      <c r="J4" s="180" t="inlineStr">
        <is>
          <t>Total</t>
        </is>
      </c>
      <c r="K4" s="16" t="inlineStr">
        <is>
          <t>Gain as % of</t>
        </is>
      </c>
    </row>
    <row r="5" ht="15.75" customHeight="1" s="74">
      <c r="A5" s="32" t="inlineStr">
        <is>
          <t>INCOME</t>
        </is>
      </c>
      <c r="B5" s="33" t="inlineStr">
        <is>
          <t>Existing</t>
        </is>
      </c>
      <c r="C5" s="33" t="inlineStr">
        <is>
          <t>Proposed</t>
        </is>
      </c>
      <c r="D5" s="33" t="inlineStr">
        <is>
          <t>Existing</t>
        </is>
      </c>
      <c r="E5" s="33" t="inlineStr">
        <is>
          <t>Proposed</t>
        </is>
      </c>
      <c r="F5" s="33" t="inlineStr">
        <is>
          <t>Existing</t>
        </is>
      </c>
      <c r="G5" s="33" t="inlineStr">
        <is>
          <t>Proposed</t>
        </is>
      </c>
      <c r="H5" s="32" t="inlineStr">
        <is>
          <t>Increase (a)</t>
        </is>
      </c>
      <c r="I5" s="32" t="inlineStr">
        <is>
          <t>Gain (b)</t>
        </is>
      </c>
      <c r="J5" s="32" t="inlineStr">
        <is>
          <t>Gain</t>
        </is>
      </c>
      <c r="K5" s="17" t="inlineStr">
        <is>
          <t>Net Income (d)</t>
        </is>
      </c>
    </row>
    <row r="6" ht="15.75" customHeight="1" s="74">
      <c r="A6" s="32" t="n"/>
      <c r="B6" s="33" t="n"/>
      <c r="C6" s="33" t="n"/>
      <c r="D6" s="33" t="n"/>
      <c r="E6" s="33" t="n"/>
      <c r="F6" s="32" t="n"/>
      <c r="G6" s="32" t="n"/>
      <c r="H6" s="32" t="n"/>
      <c r="I6" s="32" t="inlineStr">
        <is>
          <t xml:space="preserve">(Per Year) </t>
        </is>
      </c>
      <c r="J6" s="50" t="inlineStr">
        <is>
          <t>(Per Week) (c )</t>
        </is>
      </c>
      <c r="K6" s="17" t="n"/>
    </row>
    <row r="7" ht="15.75" customHeight="1" s="74">
      <c r="A7" s="33" t="inlineStr">
        <is>
          <t>€</t>
        </is>
      </c>
      <c r="B7" s="33" t="inlineStr">
        <is>
          <t>€</t>
        </is>
      </c>
      <c r="C7" s="33" t="inlineStr">
        <is>
          <t>€</t>
        </is>
      </c>
      <c r="D7" s="33" t="inlineStr">
        <is>
          <t>€</t>
        </is>
      </c>
      <c r="E7" s="33" t="inlineStr">
        <is>
          <t>€</t>
        </is>
      </c>
      <c r="F7" s="33" t="inlineStr">
        <is>
          <t>€</t>
        </is>
      </c>
      <c r="G7" s="33" t="inlineStr">
        <is>
          <t>€</t>
        </is>
      </c>
      <c r="H7" s="33" t="inlineStr">
        <is>
          <t>€</t>
        </is>
      </c>
      <c r="I7" s="33" t="inlineStr">
        <is>
          <t>€</t>
        </is>
      </c>
      <c r="J7" s="33" t="n"/>
      <c r="K7" s="18" t="inlineStr">
        <is>
          <t>%</t>
        </is>
      </c>
    </row>
    <row r="8" ht="15.75" customHeight="1" s="74">
      <c r="A8" s="19" t="n">
        <v>20000</v>
      </c>
      <c r="B8" s="19" t="n">
        <v>643</v>
      </c>
      <c r="C8" s="19" t="n">
        <v>643</v>
      </c>
      <c r="D8" s="19" t="n">
        <v>0</v>
      </c>
      <c r="E8" s="19" t="n">
        <v>0</v>
      </c>
      <c r="F8" s="19" t="n">
        <v>740</v>
      </c>
      <c r="G8" s="19" t="n">
        <v>480</v>
      </c>
      <c r="H8" s="19" t="n">
        <v>180</v>
      </c>
      <c r="I8" s="19" t="n">
        <v>940</v>
      </c>
      <c r="J8" s="19" t="n">
        <v>18.07692307692308</v>
      </c>
      <c r="K8" s="20" t="n">
        <v>3.971842174203308</v>
      </c>
    </row>
    <row r="9" ht="15.75" customHeight="1" s="74">
      <c r="A9" s="19" t="n">
        <v>30000</v>
      </c>
      <c r="B9" s="19" t="n">
        <v>900</v>
      </c>
      <c r="C9" s="19" t="n">
        <v>900</v>
      </c>
      <c r="D9" s="19" t="n">
        <v>0</v>
      </c>
      <c r="E9" s="19" t="n">
        <v>0</v>
      </c>
      <c r="F9" s="19" t="n">
        <v>2740</v>
      </c>
      <c r="G9" s="19" t="n">
        <v>2480</v>
      </c>
      <c r="H9" s="19" t="n">
        <v>180</v>
      </c>
      <c r="I9" s="19" t="n">
        <v>940</v>
      </c>
      <c r="J9" s="19" t="n">
        <v>18.07692307692308</v>
      </c>
      <c r="K9" s="20" t="n">
        <v>2.992715602873007</v>
      </c>
    </row>
    <row r="10" ht="15.75" customHeight="1" s="74">
      <c r="A10" s="19" t="n">
        <v>35000</v>
      </c>
      <c r="B10" s="19" t="n">
        <v>1050</v>
      </c>
      <c r="C10" s="19" t="n">
        <v>1050</v>
      </c>
      <c r="D10" s="19" t="n">
        <v>0</v>
      </c>
      <c r="E10" s="19" t="n">
        <v>0</v>
      </c>
      <c r="F10" s="19" t="n">
        <v>3740</v>
      </c>
      <c r="G10" s="19" t="n">
        <v>3480</v>
      </c>
      <c r="H10" s="19" t="n">
        <v>180</v>
      </c>
      <c r="I10" s="19" t="n">
        <v>940</v>
      </c>
      <c r="J10" s="19" t="n">
        <v>18.07692307692308</v>
      </c>
      <c r="K10" s="20" t="n">
        <v>2.665940623262885</v>
      </c>
    </row>
    <row r="11" ht="15.75" customHeight="1" s="74">
      <c r="A11" s="19" t="n">
        <v>40000</v>
      </c>
      <c r="B11" s="19" t="n">
        <v>1200</v>
      </c>
      <c r="C11" s="19" t="n">
        <v>1200</v>
      </c>
      <c r="D11" s="19" t="n">
        <v>520</v>
      </c>
      <c r="E11" s="19" t="n">
        <v>520</v>
      </c>
      <c r="F11" s="19" t="n">
        <v>4740</v>
      </c>
      <c r="G11" s="19" t="n">
        <v>4480</v>
      </c>
      <c r="H11" s="19" t="n">
        <v>180</v>
      </c>
      <c r="I11" s="19" t="n">
        <v>940</v>
      </c>
      <c r="J11" s="19" t="n">
        <v>18.07692307692308</v>
      </c>
      <c r="K11" s="20" t="n">
        <v>2.43588946244584</v>
      </c>
    </row>
    <row r="12" ht="15.75" customHeight="1" s="74">
      <c r="A12" s="19" t="n">
        <v>45000</v>
      </c>
      <c r="B12" s="19" t="n">
        <v>1350</v>
      </c>
      <c r="C12" s="19" t="n">
        <v>1350</v>
      </c>
      <c r="D12" s="19" t="n">
        <v>585</v>
      </c>
      <c r="E12" s="19" t="n">
        <v>585</v>
      </c>
      <c r="F12" s="19" t="n">
        <v>5740</v>
      </c>
      <c r="G12" s="19" t="n">
        <v>5480</v>
      </c>
      <c r="H12" s="19" t="n">
        <v>180</v>
      </c>
      <c r="I12" s="19" t="n">
        <v>940</v>
      </c>
      <c r="J12" s="19" t="n">
        <v>18.07692307692308</v>
      </c>
      <c r="K12" s="20" t="n">
        <v>2.218310025345372</v>
      </c>
    </row>
    <row r="13" ht="15.75" customHeight="1" s="74">
      <c r="A13" s="19" t="n">
        <v>50000</v>
      </c>
      <c r="B13" s="19" t="n">
        <v>1500</v>
      </c>
      <c r="C13" s="19" t="n">
        <v>1500</v>
      </c>
      <c r="D13" s="19" t="n">
        <v>650</v>
      </c>
      <c r="E13" s="19" t="n">
        <v>650</v>
      </c>
      <c r="F13" s="19" t="n">
        <v>6740</v>
      </c>
      <c r="G13" s="19" t="n">
        <v>6480</v>
      </c>
      <c r="H13" s="19" t="n">
        <v>180</v>
      </c>
      <c r="I13" s="19" t="n">
        <v>940</v>
      </c>
      <c r="J13" s="19" t="n">
        <v>18.07692307692308</v>
      </c>
      <c r="K13" s="20" t="n">
        <v>2.036412793871698</v>
      </c>
    </row>
    <row r="14" ht="15.75" customHeight="1" s="74">
      <c r="A14" s="19" t="n">
        <v>60000</v>
      </c>
      <c r="B14" s="19" t="n">
        <v>1800</v>
      </c>
      <c r="C14" s="19" t="n">
        <v>1800</v>
      </c>
      <c r="D14" s="19" t="n">
        <v>780</v>
      </c>
      <c r="E14" s="19" t="n">
        <v>780</v>
      </c>
      <c r="F14" s="19" t="n">
        <v>8740</v>
      </c>
      <c r="G14" s="19" t="n">
        <v>8480</v>
      </c>
      <c r="H14" s="19" t="n">
        <v>180</v>
      </c>
      <c r="I14" s="19" t="n">
        <v>940</v>
      </c>
      <c r="J14" s="19" t="n">
        <v>18.07692307692308</v>
      </c>
      <c r="K14" s="20" t="n">
        <v>1.749501206039129</v>
      </c>
    </row>
    <row r="15" ht="15.75" customHeight="1" s="74">
      <c r="A15" s="19" t="n">
        <v>70000</v>
      </c>
      <c r="B15" s="19" t="n">
        <v>2100</v>
      </c>
      <c r="C15" s="19" t="n">
        <v>2100</v>
      </c>
      <c r="D15" s="19" t="n">
        <v>1400</v>
      </c>
      <c r="E15" s="19" t="n">
        <v>910</v>
      </c>
      <c r="F15" s="19" t="n">
        <v>12060</v>
      </c>
      <c r="G15" s="19" t="n">
        <v>11005</v>
      </c>
      <c r="H15" s="19" t="n">
        <v>180</v>
      </c>
      <c r="I15" s="19" t="n">
        <v>2225</v>
      </c>
      <c r="J15" s="19" t="n">
        <v>42.78846153846154</v>
      </c>
      <c r="K15" s="20" t="n">
        <v>3.740149538742906</v>
      </c>
    </row>
    <row r="16" ht="15.75" customHeight="1" s="74">
      <c r="A16" s="19" t="n">
        <v>80000</v>
      </c>
      <c r="B16" s="19" t="n">
        <v>2400</v>
      </c>
      <c r="C16" s="19" t="n">
        <v>2400</v>
      </c>
      <c r="D16" s="19" t="n">
        <v>1600</v>
      </c>
      <c r="E16" s="19" t="n">
        <v>1600</v>
      </c>
      <c r="F16" s="19" t="n">
        <v>16260</v>
      </c>
      <c r="G16" s="19" t="n">
        <v>15000</v>
      </c>
      <c r="H16" s="19" t="n">
        <v>180</v>
      </c>
      <c r="I16" s="19" t="n">
        <v>1940</v>
      </c>
      <c r="J16" s="19" t="n">
        <v>37.30769230769231</v>
      </c>
      <c r="K16" s="20" t="n">
        <v>2.994307728400854</v>
      </c>
    </row>
    <row r="17" ht="15.75" customHeight="1" s="74">
      <c r="A17" s="19" t="n">
        <v>100000</v>
      </c>
      <c r="B17" s="19" t="n">
        <v>3000</v>
      </c>
      <c r="C17" s="19" t="n">
        <v>3000</v>
      </c>
      <c r="D17" s="19" t="n">
        <v>2000</v>
      </c>
      <c r="E17" s="19" t="n">
        <v>2000</v>
      </c>
      <c r="F17" s="19" t="n">
        <v>24660</v>
      </c>
      <c r="G17" s="19" t="n">
        <v>23200</v>
      </c>
      <c r="H17" s="19" t="n">
        <v>180</v>
      </c>
      <c r="I17" s="19" t="n">
        <v>2140</v>
      </c>
      <c r="J17" s="19" t="n">
        <v>41.15384615384615</v>
      </c>
      <c r="K17" s="20" t="n">
        <v>2.838587815826056</v>
      </c>
    </row>
    <row r="18" ht="15.75" customHeight="1" s="74">
      <c r="A18" s="19" t="n">
        <v>120000</v>
      </c>
      <c r="B18" s="19" t="n">
        <v>3600</v>
      </c>
      <c r="C18" s="19" t="n">
        <v>3600</v>
      </c>
      <c r="D18" s="19" t="n">
        <v>2400</v>
      </c>
      <c r="E18" s="19" t="n">
        <v>2400</v>
      </c>
      <c r="F18" s="19" t="n">
        <v>33060</v>
      </c>
      <c r="G18" s="19" t="n">
        <v>31400</v>
      </c>
      <c r="H18" s="19" t="n">
        <v>180</v>
      </c>
      <c r="I18" s="19" t="n">
        <v>2340</v>
      </c>
      <c r="J18" s="19" t="n">
        <v>45</v>
      </c>
      <c r="K18" s="20" t="n">
        <v>2.721259315079963</v>
      </c>
    </row>
    <row r="19" ht="15.75" customHeight="1" s="74">
      <c r="A19" s="21" t="n">
        <v>200000</v>
      </c>
      <c r="B19" s="21" t="n">
        <v>6000</v>
      </c>
      <c r="C19" s="21" t="n">
        <v>6000</v>
      </c>
      <c r="D19" s="21" t="n">
        <v>4000</v>
      </c>
      <c r="E19" s="21" t="n">
        <v>4150</v>
      </c>
      <c r="F19" s="21" t="n">
        <v>66660</v>
      </c>
      <c r="G19" s="21" t="n">
        <v>64200</v>
      </c>
      <c r="H19" s="21" t="n">
        <v>180</v>
      </c>
      <c r="I19" s="21" t="n">
        <v>2991</v>
      </c>
      <c r="J19" s="21" t="n">
        <v>57.5</v>
      </c>
      <c r="K19" s="22" t="n">
        <v>2.328849065656408</v>
      </c>
    </row>
    <row r="20" ht="15.75" customHeight="1" s="74">
      <c r="A20" s="155" t="n"/>
      <c r="B20" s="155" t="n"/>
      <c r="C20" s="155" t="n"/>
      <c r="D20" s="155" t="n"/>
      <c r="E20" s="155" t="n"/>
      <c r="F20" s="155" t="n"/>
      <c r="G20" s="155" t="n"/>
      <c r="H20" s="155" t="n"/>
      <c r="I20" s="155" t="n"/>
      <c r="J20" s="24" t="n"/>
    </row>
    <row r="21" ht="15.75" customHeight="1" s="74">
      <c r="A21" s="160" t="inlineStr">
        <is>
          <t>This example assumes that the joint income is divided 65% and 35% between spouses.</t>
        </is>
      </c>
      <c r="B21" s="110" t="n"/>
      <c r="C21" s="110" t="n"/>
      <c r="D21" s="110" t="n"/>
      <c r="E21" s="110" t="n"/>
      <c r="F21" s="110" t="n"/>
      <c r="G21" s="110" t="n"/>
      <c r="H21" s="110" t="n"/>
      <c r="I21" s="160" t="n"/>
      <c r="J21" s="36" t="n"/>
      <c r="K21" s="160" t="n"/>
      <c r="L21" s="160" t="n"/>
      <c r="M21" s="160" t="n"/>
      <c r="N21" s="160" t="n"/>
      <c r="O21" s="160" t="n"/>
      <c r="P21" s="160" t="n"/>
      <c r="Q21" s="160" t="n"/>
    </row>
    <row r="22" ht="15.75" customHeight="1" s="74">
      <c r="A22" s="12" t="inlineStr">
        <is>
          <t>Variations can arise due to rounding</t>
        </is>
      </c>
      <c r="B22" s="155" t="n"/>
      <c r="C22" s="155" t="n"/>
      <c r="D22" s="155" t="n"/>
      <c r="E22" s="155" t="n"/>
      <c r="F22" s="155" t="n"/>
      <c r="G22" s="155" t="n"/>
      <c r="H22" s="24" t="n"/>
      <c r="I22" s="155" t="n"/>
      <c r="J22" s="155" t="n"/>
      <c r="K22" s="24" t="n"/>
      <c r="L22" s="160" t="n"/>
      <c r="M22" s="160" t="n"/>
      <c r="N22" s="160" t="n"/>
      <c r="O22" s="160" t="n"/>
      <c r="P22" s="160" t="n"/>
      <c r="Q22" s="160" t="n"/>
    </row>
    <row r="23" ht="15.75" customHeight="1" s="74">
      <c r="A23" s="160" t="inlineStr">
        <is>
          <t>(a)  Value during 2007 of the increase in Child Benefit (CB) made in the Budget, which is effective from April, 2007 (i.e. assuming 9 months of CB increase).</t>
        </is>
      </c>
      <c r="B23" s="29" t="n"/>
      <c r="C23" s="29" t="n"/>
      <c r="D23" s="29" t="n"/>
      <c r="E23" s="29" t="n"/>
      <c r="F23" s="29" t="n"/>
      <c r="G23" s="60" t="n"/>
      <c r="H23" s="61" t="n"/>
      <c r="I23" s="147" t="n"/>
      <c r="J23" s="147" t="n"/>
      <c r="K23" s="27" t="n"/>
      <c r="L23" s="160" t="n"/>
      <c r="M23" s="160" t="n"/>
      <c r="N23" s="160" t="n"/>
      <c r="O23" s="160" t="n"/>
      <c r="P23" s="160" t="n"/>
      <c r="Q23" s="160" t="n"/>
    </row>
    <row r="24" ht="15.75" customHeight="1" s="74">
      <c r="A24" s="160" t="inlineStr">
        <is>
          <t>(b) Includes payment of an additional quarter of ECS (€250 per child) in 2007 as compared with 2006</t>
        </is>
      </c>
      <c r="B24" s="29" t="n"/>
      <c r="C24" s="29" t="n"/>
      <c r="D24" s="29" t="n"/>
      <c r="E24" s="29" t="n"/>
      <c r="F24" s="29" t="n"/>
      <c r="G24" s="60" t="n"/>
      <c r="H24" s="61" t="n"/>
      <c r="I24" s="147" t="n"/>
      <c r="J24" s="147" t="n"/>
      <c r="K24" s="27" t="n"/>
      <c r="L24" s="160" t="n"/>
      <c r="M24" s="160" t="n"/>
      <c r="N24" s="160" t="n"/>
      <c r="O24" s="160" t="n"/>
      <c r="P24" s="160" t="n"/>
      <c r="Q24" s="160" t="n"/>
    </row>
    <row r="25" ht="15.75" customHeight="1" s="74">
      <c r="A25" s="160" t="inlineStr">
        <is>
          <t>(c) Gains per week are based on a 52 week year</t>
        </is>
      </c>
      <c r="B25" s="29" t="n"/>
      <c r="C25" s="29" t="n"/>
      <c r="D25" s="29" t="n"/>
      <c r="E25" s="29" t="n"/>
      <c r="F25" s="29" t="n"/>
      <c r="G25" s="60" t="n"/>
      <c r="H25" s="61" t="n"/>
      <c r="I25" s="147" t="n"/>
      <c r="J25" s="147" t="n"/>
      <c r="K25" s="27" t="n"/>
      <c r="L25" s="160" t="n"/>
      <c r="M25" s="160" t="n"/>
      <c r="N25" s="160" t="n"/>
      <c r="O25" s="160" t="n"/>
      <c r="P25" s="160" t="n"/>
      <c r="Q25" s="160" t="n"/>
    </row>
    <row r="26" ht="15.75" customHeight="1" s="74">
      <c r="A26" s="160" t="inlineStr">
        <is>
          <t>(d) Net income includes CB and ECS less deductions of tax, levy and PRSI (where appropriate) and so may be higher than the gross income.</t>
        </is>
      </c>
      <c r="B26" s="29" t="n"/>
      <c r="C26" s="29" t="n"/>
      <c r="D26" s="29" t="n"/>
      <c r="E26" s="29" t="n"/>
      <c r="F26" s="29" t="n"/>
      <c r="G26" s="60" t="n"/>
      <c r="H26" s="61" t="n"/>
      <c r="I26" s="147" t="n"/>
      <c r="J26" s="147" t="n"/>
      <c r="K26" s="27" t="n"/>
      <c r="L26" s="160" t="n"/>
      <c r="M26" s="160" t="n"/>
      <c r="N26" s="160" t="n"/>
      <c r="O26" s="160" t="n"/>
      <c r="P26" s="160" t="n"/>
      <c r="Q26" s="160" t="n"/>
    </row>
  </sheetData>
  <mergeCells count="6">
    <mergeCell ref="F4:G4"/>
    <mergeCell ref="A3:K3"/>
    <mergeCell ref="A2:K2"/>
    <mergeCell ref="D4:E4"/>
    <mergeCell ref="A1:K1"/>
    <mergeCell ref="B4:C4"/>
  </mergeCells>
  <printOptions horizontalCentered="1" verticalCentered="1"/>
  <pageMargins left="0.7480314960629921" right="0.7480314960629921" top="0.984251968503937" bottom="0.984251968503937" header="0.5118110236220472" footer="0.5118110236220472"/>
  <pageSetup orientation="landscape" paperSize="9" scale="78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topLeftCell="D11" workbookViewId="0">
      <selection activeCell="K5" sqref="K5"/>
    </sheetView>
  </sheetViews>
  <sheetFormatPr baseColWidth="8" defaultRowHeight="12.75"/>
  <cols>
    <col width="13.140625" customWidth="1" style="74" min="1" max="1"/>
    <col width="12.7109375" customWidth="1" style="74" min="2" max="2"/>
    <col width="12.5703125" customWidth="1" style="74" min="3" max="3"/>
    <col width="10.7109375" customWidth="1" style="74" min="4" max="4"/>
    <col width="11.7109375" customWidth="1" style="74" min="5" max="5"/>
    <col width="12.85546875" customWidth="1" style="74" min="6" max="6"/>
    <col width="17" bestFit="1" customWidth="1" style="74" min="7" max="7"/>
    <col width="15.85546875" customWidth="1" style="74" min="8" max="8"/>
    <col width="19" customWidth="1" style="74" min="9" max="9"/>
    <col width="16.42578125" customWidth="1" style="74" min="10" max="10"/>
  </cols>
  <sheetData>
    <row r="1" ht="18.75" customHeight="1" s="74">
      <c r="A1" s="175" t="inlineStr">
        <is>
          <t>EXAMPLE 12</t>
        </is>
      </c>
    </row>
    <row r="2" ht="18.75" customHeight="1" s="74">
      <c r="A2" s="178" t="inlineStr">
        <is>
          <t xml:space="preserve">Single person </t>
        </is>
      </c>
    </row>
    <row r="3" ht="18.75" customHeight="1" s="74">
      <c r="A3" s="179" t="inlineStr">
        <is>
          <t>Taxed under Schedule D</t>
        </is>
      </c>
      <c r="B3" s="195" t="n"/>
      <c r="C3" s="195" t="n"/>
      <c r="D3" s="195" t="n"/>
      <c r="E3" s="195" t="n"/>
      <c r="F3" s="195" t="n"/>
      <c r="G3" s="195" t="n"/>
      <c r="H3" s="195" t="n"/>
      <c r="I3" s="195" t="n"/>
      <c r="J3" s="195" t="n"/>
      <c r="M3" t="inlineStr">
        <is>
          <t xml:space="preserve"> </t>
        </is>
      </c>
    </row>
    <row r="4" ht="18.75" customHeight="1" s="74">
      <c r="A4" s="194" t="inlineStr">
        <is>
          <t>GROSS</t>
        </is>
      </c>
      <c r="B4" s="194" t="inlineStr">
        <is>
          <t>PRSI Liability</t>
        </is>
      </c>
      <c r="C4" s="197" t="n"/>
      <c r="D4" s="194" t="inlineStr">
        <is>
          <t>Levy Liability</t>
        </is>
      </c>
      <c r="E4" s="197" t="n"/>
      <c r="F4" s="64" t="inlineStr">
        <is>
          <t xml:space="preserve">          Tax Liability</t>
        </is>
      </c>
      <c r="G4" s="65" t="n"/>
      <c r="H4" s="194" t="inlineStr">
        <is>
          <t>Total</t>
        </is>
      </c>
      <c r="I4" s="194" t="inlineStr">
        <is>
          <t xml:space="preserve">Total </t>
        </is>
      </c>
      <c r="J4" s="158" t="inlineStr">
        <is>
          <t xml:space="preserve">Gain as % of </t>
        </is>
      </c>
    </row>
    <row r="5" ht="18.75" customHeight="1" s="74">
      <c r="A5" s="66" t="inlineStr">
        <is>
          <t>INCOME</t>
        </is>
      </c>
      <c r="B5" s="67" t="inlineStr">
        <is>
          <t>Existing</t>
        </is>
      </c>
      <c r="C5" s="67" t="inlineStr">
        <is>
          <t>Proposed</t>
        </is>
      </c>
      <c r="D5" s="67" t="inlineStr">
        <is>
          <t>Existing</t>
        </is>
      </c>
      <c r="E5" s="67" t="inlineStr">
        <is>
          <t>Proposed</t>
        </is>
      </c>
      <c r="F5" s="67" t="inlineStr">
        <is>
          <t>Existing</t>
        </is>
      </c>
      <c r="G5" s="67" t="inlineStr">
        <is>
          <t>Proposed</t>
        </is>
      </c>
      <c r="H5" s="66" t="inlineStr">
        <is>
          <t>Gain</t>
        </is>
      </c>
      <c r="I5" s="66" t="inlineStr">
        <is>
          <t>Gain</t>
        </is>
      </c>
      <c r="J5" s="159" t="inlineStr">
        <is>
          <t>Net Income</t>
        </is>
      </c>
    </row>
    <row r="6" ht="18.75" customHeight="1" s="74">
      <c r="A6" s="66" t="n"/>
      <c r="B6" s="67" t="n"/>
      <c r="C6" s="67" t="n"/>
      <c r="D6" s="67" t="n"/>
      <c r="E6" s="67" t="n"/>
      <c r="F6" s="66" t="n"/>
      <c r="G6" s="66" t="n"/>
      <c r="H6" s="66" t="inlineStr">
        <is>
          <t>(Per Month)</t>
        </is>
      </c>
      <c r="I6" s="66" t="inlineStr">
        <is>
          <t>(Per Week) (a)</t>
        </is>
      </c>
      <c r="J6" s="159" t="n"/>
    </row>
    <row r="7" ht="15.75" customHeight="1" s="74">
      <c r="A7" s="33" t="inlineStr">
        <is>
          <t>€</t>
        </is>
      </c>
      <c r="B7" s="33" t="inlineStr">
        <is>
          <t>€</t>
        </is>
      </c>
      <c r="C7" s="33" t="inlineStr">
        <is>
          <t>€</t>
        </is>
      </c>
      <c r="D7" s="33" t="inlineStr">
        <is>
          <t>€</t>
        </is>
      </c>
      <c r="E7" s="33" t="inlineStr">
        <is>
          <t>€</t>
        </is>
      </c>
      <c r="F7" s="33" t="inlineStr">
        <is>
          <t>€</t>
        </is>
      </c>
      <c r="G7" s="33" t="inlineStr">
        <is>
          <t>€</t>
        </is>
      </c>
      <c r="H7" s="33" t="inlineStr">
        <is>
          <t>€</t>
        </is>
      </c>
      <c r="I7" s="33" t="inlineStr">
        <is>
          <t>€</t>
        </is>
      </c>
      <c r="J7" s="85" t="inlineStr">
        <is>
          <t>%</t>
        </is>
      </c>
    </row>
    <row r="8" ht="15.75" customHeight="1" s="74">
      <c r="A8" s="75" t="n">
        <v>17500</v>
      </c>
      <c r="B8" s="19" t="n">
        <v>525</v>
      </c>
      <c r="C8" s="19" t="n">
        <v>525</v>
      </c>
      <c r="D8" s="19" t="n">
        <v>0</v>
      </c>
      <c r="E8" s="19" t="n">
        <v>0</v>
      </c>
      <c r="F8" s="19" t="n">
        <v>1870</v>
      </c>
      <c r="G8" s="19" t="n">
        <v>1740</v>
      </c>
      <c r="H8" s="19" t="n">
        <v>130</v>
      </c>
      <c r="I8" s="155" t="n">
        <v>2.5</v>
      </c>
      <c r="J8" s="156" t="n">
        <v>0.8606421714664019</v>
      </c>
    </row>
    <row r="9" ht="15.75" customHeight="1" s="74">
      <c r="A9" s="75" t="inlineStr">
        <is>
          <t>25,000 (b)</t>
        </is>
      </c>
      <c r="B9" s="19" t="n">
        <v>748.8</v>
      </c>
      <c r="C9" s="19" t="n">
        <v>748.8</v>
      </c>
      <c r="D9" s="19" t="n">
        <v>499.2</v>
      </c>
      <c r="E9" s="19" t="n">
        <v>0</v>
      </c>
      <c r="F9" s="19" t="n">
        <v>3362</v>
      </c>
      <c r="G9" s="19" t="n">
        <v>3232</v>
      </c>
      <c r="H9" s="19" t="n">
        <v>629.2000000000007</v>
      </c>
      <c r="I9" s="155" t="n">
        <v>12.1</v>
      </c>
      <c r="J9" s="20" t="n">
        <v>3.091891891891895</v>
      </c>
    </row>
    <row r="10" ht="15.75" customHeight="1" s="74">
      <c r="A10" s="75" t="n">
        <v>30000</v>
      </c>
      <c r="B10" s="19" t="n">
        <v>900</v>
      </c>
      <c r="C10" s="19" t="n">
        <v>900</v>
      </c>
      <c r="D10" s="19" t="n">
        <v>600</v>
      </c>
      <c r="E10" s="19" t="n">
        <v>600</v>
      </c>
      <c r="F10" s="19" t="n">
        <v>4370</v>
      </c>
      <c r="G10" s="19" t="n">
        <v>4240</v>
      </c>
      <c r="H10" s="19" t="n">
        <v>130</v>
      </c>
      <c r="I10" s="155" t="n">
        <v>2.5</v>
      </c>
      <c r="J10" s="20" t="n">
        <v>0.5387484459179445</v>
      </c>
    </row>
    <row r="11" ht="15.75" customHeight="1" s="74">
      <c r="A11" s="75" t="n">
        <v>35000</v>
      </c>
      <c r="B11" s="19" t="n">
        <v>1050</v>
      </c>
      <c r="C11" s="19" t="n">
        <v>1050</v>
      </c>
      <c r="D11" s="19" t="n">
        <v>700</v>
      </c>
      <c r="E11" s="19" t="n">
        <v>700</v>
      </c>
      <c r="F11" s="19" t="n">
        <v>6030</v>
      </c>
      <c r="G11" s="19" t="n">
        <v>5450</v>
      </c>
      <c r="H11" s="19" t="n">
        <v>580</v>
      </c>
      <c r="I11" s="155" t="n">
        <v>11.15384615384615</v>
      </c>
      <c r="J11" s="20" t="n">
        <v>2.13078618662748</v>
      </c>
    </row>
    <row r="12" ht="15.75" customHeight="1" s="74">
      <c r="A12" s="75" t="n">
        <v>40000</v>
      </c>
      <c r="B12" s="19" t="n">
        <v>1200</v>
      </c>
      <c r="C12" s="19" t="n">
        <v>1200</v>
      </c>
      <c r="D12" s="19" t="n">
        <v>800</v>
      </c>
      <c r="E12" s="19" t="n">
        <v>800</v>
      </c>
      <c r="F12" s="19" t="n">
        <v>8130</v>
      </c>
      <c r="G12" s="19" t="n">
        <v>7500</v>
      </c>
      <c r="H12" s="19" t="n">
        <v>630</v>
      </c>
      <c r="I12" s="155" t="n">
        <v>12.11538461538461</v>
      </c>
      <c r="J12" s="20" t="n">
        <v>2.109139604954804</v>
      </c>
    </row>
    <row r="13" ht="15.75" customHeight="1" s="74">
      <c r="A13" s="75" t="n">
        <v>45000</v>
      </c>
      <c r="B13" s="19" t="n">
        <v>1350</v>
      </c>
      <c r="C13" s="19" t="n">
        <v>1350</v>
      </c>
      <c r="D13" s="19" t="n">
        <v>900</v>
      </c>
      <c r="E13" s="19" t="n">
        <v>900</v>
      </c>
      <c r="F13" s="19" t="n">
        <v>10230</v>
      </c>
      <c r="G13" s="19" t="n">
        <v>9550</v>
      </c>
      <c r="H13" s="19" t="n">
        <v>680</v>
      </c>
      <c r="I13" s="155" t="n">
        <v>13.07692307692308</v>
      </c>
      <c r="J13" s="20" t="n">
        <v>2.091020910209102</v>
      </c>
    </row>
    <row r="14" ht="15.75" customHeight="1" s="74">
      <c r="A14" s="75" t="n">
        <v>50000</v>
      </c>
      <c r="B14" s="19" t="n">
        <v>1500</v>
      </c>
      <c r="C14" s="19" t="n">
        <v>1500</v>
      </c>
      <c r="D14" s="19" t="n">
        <v>1000</v>
      </c>
      <c r="E14" s="19" t="n">
        <v>1000</v>
      </c>
      <c r="F14" s="19" t="n">
        <v>12330</v>
      </c>
      <c r="G14" s="19" t="n">
        <v>11600</v>
      </c>
      <c r="H14" s="19" t="n">
        <v>730</v>
      </c>
      <c r="I14" s="155" t="n">
        <v>14.03846153846154</v>
      </c>
      <c r="J14" s="20" t="n">
        <v>2.075632641455786</v>
      </c>
    </row>
    <row r="15" ht="15.75" customHeight="1" s="74">
      <c r="A15" s="75" t="n">
        <v>60000</v>
      </c>
      <c r="B15" s="19" t="n">
        <v>1800</v>
      </c>
      <c r="C15" s="19" t="n">
        <v>1800</v>
      </c>
      <c r="D15" s="19" t="n">
        <v>1200</v>
      </c>
      <c r="E15" s="19" t="n">
        <v>1200</v>
      </c>
      <c r="F15" s="19" t="n">
        <v>16530</v>
      </c>
      <c r="G15" s="19" t="n">
        <v>15700</v>
      </c>
      <c r="H15" s="19" t="n">
        <v>830</v>
      </c>
      <c r="I15" s="155" t="n">
        <v>15.96153846153846</v>
      </c>
      <c r="J15" s="20" t="n">
        <v>2.050901902643933</v>
      </c>
    </row>
    <row r="16" ht="15.75" customHeight="1" s="74">
      <c r="A16" s="75" t="n">
        <v>80000</v>
      </c>
      <c r="B16" s="19" t="n">
        <v>2400</v>
      </c>
      <c r="C16" s="19" t="n">
        <v>2400</v>
      </c>
      <c r="D16" s="19" t="n">
        <v>1600</v>
      </c>
      <c r="E16" s="19" t="n">
        <v>1600</v>
      </c>
      <c r="F16" s="19" t="n">
        <v>24930</v>
      </c>
      <c r="G16" s="19" t="n">
        <v>23900</v>
      </c>
      <c r="H16" s="19" t="n">
        <v>1030</v>
      </c>
      <c r="I16" s="155" t="n">
        <v>19.80769230769231</v>
      </c>
      <c r="J16" s="20" t="n">
        <v>2.016839631877815</v>
      </c>
    </row>
    <row r="17" ht="15.75" customHeight="1" s="74">
      <c r="A17" s="75" t="n">
        <v>100000</v>
      </c>
      <c r="B17" s="19" t="n">
        <v>3000</v>
      </c>
      <c r="C17" s="19" t="n">
        <v>3000</v>
      </c>
      <c r="D17" s="19" t="n">
        <v>2000</v>
      </c>
      <c r="E17" s="19" t="n">
        <v>2000</v>
      </c>
      <c r="F17" s="19" t="n">
        <v>33330</v>
      </c>
      <c r="G17" s="19" t="n">
        <v>32100</v>
      </c>
      <c r="H17" s="19" t="n">
        <v>1230</v>
      </c>
      <c r="I17" s="155" t="n">
        <v>23.65384615384615</v>
      </c>
      <c r="J17" s="20" t="n">
        <v>1.994486784498135</v>
      </c>
    </row>
    <row r="18" ht="15.75" customHeight="1" s="74">
      <c r="A18" s="75" t="n">
        <v>120000</v>
      </c>
      <c r="B18" s="19" t="n">
        <v>3600</v>
      </c>
      <c r="C18" s="19" t="n">
        <v>3600</v>
      </c>
      <c r="D18" s="19" t="n">
        <v>2400</v>
      </c>
      <c r="E18" s="19" t="n">
        <v>2500</v>
      </c>
      <c r="F18" s="19" t="n">
        <v>41730</v>
      </c>
      <c r="G18" s="19" t="n">
        <v>40300</v>
      </c>
      <c r="H18" s="19" t="n">
        <v>1331</v>
      </c>
      <c r="I18" s="49" t="n">
        <v>25.57692307692308</v>
      </c>
      <c r="J18" s="20" t="n">
        <v>1.84032101840321</v>
      </c>
    </row>
    <row r="19" ht="15.75" customHeight="1" s="74">
      <c r="A19" s="76" t="n">
        <v>200000</v>
      </c>
      <c r="B19" s="21" t="n">
        <v>6000</v>
      </c>
      <c r="C19" s="21" t="n">
        <v>6000</v>
      </c>
      <c r="D19" s="21" t="n">
        <v>4000</v>
      </c>
      <c r="E19" s="21" t="n">
        <v>4500</v>
      </c>
      <c r="F19" s="21" t="n">
        <v>75330</v>
      </c>
      <c r="G19" s="21" t="n">
        <v>73100</v>
      </c>
      <c r="H19" s="21" t="n">
        <v>1731</v>
      </c>
      <c r="I19" s="157" t="n">
        <v>33.26923076923077</v>
      </c>
      <c r="J19" s="22" t="n">
        <v>1.508677073340891</v>
      </c>
    </row>
    <row r="20" ht="15.75" customHeight="1" s="74">
      <c r="A20" s="155" t="n"/>
      <c r="B20" s="155" t="n"/>
      <c r="C20" s="155" t="n"/>
      <c r="D20" s="155" t="n"/>
      <c r="E20" s="155" t="n"/>
      <c r="F20" s="155" t="n"/>
      <c r="G20" s="155" t="n"/>
      <c r="H20" s="24" t="n"/>
    </row>
    <row r="21" ht="15.75" customHeight="1" s="74">
      <c r="A21" s="147" t="inlineStr">
        <is>
          <t>Variations can arise due to rounding</t>
        </is>
      </c>
      <c r="B21" s="29" t="n"/>
      <c r="C21" s="29" t="n"/>
      <c r="D21" s="29" t="n"/>
      <c r="E21" s="29" t="n"/>
      <c r="F21" s="29" t="n"/>
      <c r="G21" s="29" t="n"/>
      <c r="H21" s="29" t="n"/>
    </row>
    <row r="22">
      <c r="A22" s="160" t="inlineStr">
        <is>
          <t>(a) Gains per week are based on a 52 week year</t>
        </is>
      </c>
      <c r="B22" s="147" t="n"/>
      <c r="C22" s="147" t="n"/>
      <c r="D22" s="147" t="n"/>
      <c r="E22" s="147" t="n"/>
      <c r="F22" s="147" t="n"/>
      <c r="G22" s="147" t="n"/>
      <c r="H22" s="147" t="n"/>
    </row>
    <row r="23">
      <c r="A23" s="147" t="inlineStr">
        <is>
          <t>(b) Recte €24,960</t>
        </is>
      </c>
    </row>
  </sheetData>
  <mergeCells count="5">
    <mergeCell ref="A1:J1"/>
    <mergeCell ref="A3:J3"/>
    <mergeCell ref="D4:E4"/>
    <mergeCell ref="A2:J2"/>
    <mergeCell ref="B4:C4"/>
  </mergeCells>
  <printOptions horizontalCentered="1" verticalCentered="1"/>
  <pageMargins left="0.7480314960629921" right="0.7480314960629921" top="0.984251968503937" bottom="0.984251968503937" header="0.5118110236220472" footer="0.5118110236220472"/>
  <pageSetup orientation="landscape" paperSize="9" scale="9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SSN</t>
        </is>
      </c>
      <c r="E1" t="inlineStr">
        <is>
          <t>Passport</t>
        </is>
      </c>
      <c r="F1" t="inlineStr">
        <is>
          <t>Address</t>
        </is>
      </c>
    </row>
    <row r="2">
      <c r="A2" t="inlineStr">
        <is>
          <t>Grace B. Delacroix</t>
        </is>
      </c>
      <c r="B2" t="inlineStr">
        <is>
          <t>+44 20 7355 2249</t>
        </is>
      </c>
      <c r="C2" t="inlineStr">
        <is>
          <t>grace.delacroix36@demo-mail.example.com</t>
        </is>
      </c>
      <c r="D2" t="inlineStr">
        <is>
          <t>646-82-4119</t>
        </is>
      </c>
      <c r="E2" t="inlineStr">
        <is>
          <t>841909765</t>
        </is>
      </c>
      <c r="F2" t="inlineStr">
        <is>
          <t>2074 Fenwick Street, Leeds</t>
        </is>
      </c>
    </row>
    <row r="3">
      <c r="A3" t="inlineStr">
        <is>
          <t>Elena A. Underhill</t>
        </is>
      </c>
      <c r="B3" t="inlineStr">
        <is>
          <t>(415) 555-2299</t>
        </is>
      </c>
      <c r="C3" t="inlineStr">
        <is>
          <t>billing22@northwind-demo.example.org</t>
        </is>
      </c>
      <c r="D3" t="inlineStr">
        <is>
          <t>223-83-9626</t>
        </is>
      </c>
      <c r="E3" t="inlineStr">
        <is>
          <t>H28384048</t>
        </is>
      </c>
      <c r="F3" t="inlineStr">
        <is>
          <t>522 Brambleton Road, Portland</t>
        </is>
      </c>
    </row>
    <row r="4">
      <c r="A4" t="inlineStr">
        <is>
          <t>Marcus M. Kowalczyk</t>
        </is>
      </c>
      <c r="B4" t="inlineStr">
        <is>
          <t>+1-212-555-6081</t>
        </is>
      </c>
      <c r="C4" t="inlineStr">
        <is>
          <t>mkowalczyk760@corp-demo.example.net</t>
        </is>
      </c>
      <c r="D4" t="inlineStr">
        <is>
          <t>646-82-4119</t>
        </is>
      </c>
      <c r="E4" t="inlineStr">
        <is>
          <t>841909765</t>
        </is>
      </c>
      <c r="F4" t="inlineStr">
        <is>
          <t>1374 Calloway Court, Leeds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agreement is made between Northwind Holdings (2074 Fenwick Street, Leeds) represented by Marcus M. Kowalczyk and Grace B. Delacroix, born 01/05/1976, passport 841909765, residing at 522 Brambleton Road, Portland.</t>
        </is>
      </c>
    </row>
    <row r="2">
      <c r="A2" t="inlineStr">
        <is>
          <t>Payments go to IBAN GB45NWBK24042781143936. Send notices to billing22@northwind-demo.example.org or call +44 20 7355 2249. Copy Priya Abernathy (SSN 223-83-9626) on every invoice.</t>
        </is>
      </c>
    </row>
    <row r="3">
      <c r="A3" t="inlineStr">
        <is>
          <t>Hi Elena, please charge card 5500 6641 7913 9688 for Halcyon Dynamics; my cell is +1-212-555-6081 and my email mkowalczyk760@corp-demo.example.net. Regards, Grace J. Vandermeer.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Grace B. Delacroix</dc:creator>
  <dc:title xmlns:dc="http://purl.org/dc/elements/1.1/">Agreement Northwind Holdings</dc:title>
  <dc:description xmlns:dc="http://purl.org/dc/elements/1.1/">Prepared for Elena A. Underhill</dc:description>
  <dc:subject xmlns:dc="http://purl.org/dc/elements/1.1/">Contact grace.delacroix36@demo-mail.example.com</dc:subject>
  <dcterms:created xmlns:dcterms="http://purl.org/dc/terms/" xmlns:xsi="http://www.w3.org/2001/XMLSchema-instance" xsi:type="dcterms:W3CDTF">2006-12-05T21:41:38Z</dcterms:created>
  <dcterms:modified xmlns:dcterms="http://purl.org/dc/terms/" xmlns:xsi="http://www.w3.org/2001/XMLSchema-instance" xsi:type="dcterms:W3CDTF">2026-10-08T14:55:32Z</dcterms:modified>
  <cp:lastModifiedBy>slevinv</cp:lastModifiedBy>
  <cp:category> </cp:category>
  <cp:keywords>+44 20 7355 2249; billing22@northwind-demo.example.org</cp:keywords>
</cp:coreProperties>
</file>